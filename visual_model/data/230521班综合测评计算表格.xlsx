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ybfy\Desktop\2025年230521班综测\230521班综测材料\"/>
    </mc:Choice>
  </mc:AlternateContent>
  <xr:revisionPtr revIDLastSave="0" documentId="13_ncr:1_{98C4B4AB-44E3-4BB0-BB33-B9E81096E04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综合测评计算表" sheetId="1" r:id="rId1"/>
    <sheet name="加减分说明" sheetId="2" r:id="rId2"/>
  </sheets>
  <definedNames>
    <definedName name="_xlnm._FilterDatabase" localSheetId="0" hidden="1">综合测评计算表!$A$3:$S$85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2" i="1" l="1"/>
  <c r="R22" i="1" s="1"/>
  <c r="L22" i="1"/>
  <c r="I22" i="1"/>
  <c r="J22" i="1" s="1"/>
  <c r="S22" i="1" s="1"/>
  <c r="Q25" i="1"/>
  <c r="R25" i="1" s="1"/>
  <c r="L25" i="1"/>
  <c r="I25" i="1"/>
  <c r="J25" i="1" s="1"/>
  <c r="S25" i="1" s="1"/>
  <c r="Q17" i="1"/>
  <c r="R17" i="1" s="1"/>
  <c r="L17" i="1"/>
  <c r="Q6" i="1"/>
  <c r="R6" i="1" s="1"/>
  <c r="L6" i="1"/>
  <c r="I6" i="1"/>
  <c r="J6" i="1" s="1"/>
  <c r="Q4" i="1"/>
  <c r="R4" i="1" s="1"/>
  <c r="L4" i="1"/>
  <c r="I4" i="1"/>
  <c r="J4" i="1" s="1"/>
  <c r="Q12" i="1"/>
  <c r="R12" i="1" s="1"/>
  <c r="L12" i="1"/>
  <c r="I12" i="1"/>
  <c r="J12" i="1" s="1"/>
  <c r="Q5" i="1"/>
  <c r="R5" i="1" s="1"/>
  <c r="L5" i="1"/>
  <c r="I5" i="1"/>
  <c r="J5" i="1" s="1"/>
  <c r="S5" i="1" s="1"/>
  <c r="Q33" i="1"/>
  <c r="R33" i="1" s="1"/>
  <c r="L33" i="1"/>
  <c r="I33" i="1"/>
  <c r="J33" i="1" s="1"/>
  <c r="S33" i="1" s="1"/>
  <c r="Q23" i="1"/>
  <c r="R23" i="1" s="1"/>
  <c r="L23" i="1"/>
  <c r="I23" i="1"/>
  <c r="J23" i="1" s="1"/>
  <c r="I17" i="1" s="1"/>
  <c r="J17" i="1" s="1"/>
  <c r="Q24" i="1"/>
  <c r="R24" i="1" s="1"/>
  <c r="L24" i="1"/>
  <c r="I24" i="1"/>
  <c r="J24" i="1" s="1"/>
  <c r="Q27" i="1"/>
  <c r="R27" i="1" s="1"/>
  <c r="L27" i="1"/>
  <c r="I27" i="1"/>
  <c r="J27" i="1" s="1"/>
  <c r="Q30" i="1"/>
  <c r="R30" i="1" s="1"/>
  <c r="L30" i="1"/>
  <c r="I30" i="1"/>
  <c r="J30" i="1" s="1"/>
  <c r="Q7" i="1"/>
  <c r="R7" i="1" s="1"/>
  <c r="L7" i="1"/>
  <c r="I7" i="1"/>
  <c r="J7" i="1" s="1"/>
  <c r="Q29" i="1"/>
  <c r="R29" i="1" s="1"/>
  <c r="L29" i="1"/>
  <c r="I29" i="1"/>
  <c r="J29" i="1" s="1"/>
  <c r="Q26" i="1"/>
  <c r="R26" i="1" s="1"/>
  <c r="L26" i="1"/>
  <c r="I26" i="1"/>
  <c r="J26" i="1" s="1"/>
  <c r="Q35" i="1"/>
  <c r="R35" i="1" s="1"/>
  <c r="L35" i="1"/>
  <c r="I35" i="1"/>
  <c r="J35" i="1" s="1"/>
  <c r="Q9" i="1"/>
  <c r="R9" i="1" s="1"/>
  <c r="L9" i="1"/>
  <c r="I9" i="1"/>
  <c r="J9" i="1" s="1"/>
  <c r="Q20" i="1"/>
  <c r="R20" i="1" s="1"/>
  <c r="L20" i="1"/>
  <c r="I20" i="1"/>
  <c r="J20" i="1" s="1"/>
  <c r="Q18" i="1"/>
  <c r="R18" i="1" s="1"/>
  <c r="L18" i="1"/>
  <c r="I18" i="1"/>
  <c r="J18" i="1" s="1"/>
  <c r="S18" i="1" s="1"/>
  <c r="Q15" i="1"/>
  <c r="R15" i="1" s="1"/>
  <c r="L15" i="1"/>
  <c r="I15" i="1"/>
  <c r="J15" i="1" s="1"/>
  <c r="Q19" i="1"/>
  <c r="R19" i="1" s="1"/>
  <c r="L19" i="1"/>
  <c r="I19" i="1"/>
  <c r="J19" i="1" s="1"/>
  <c r="Q14" i="1"/>
  <c r="R14" i="1" s="1"/>
  <c r="L14" i="1"/>
  <c r="I14" i="1"/>
  <c r="J14" i="1" s="1"/>
  <c r="S14" i="1" s="1"/>
  <c r="Q8" i="1"/>
  <c r="R8" i="1" s="1"/>
  <c r="L8" i="1"/>
  <c r="I8" i="1"/>
  <c r="J8" i="1" s="1"/>
  <c r="S8" i="1" s="1"/>
  <c r="Q32" i="1"/>
  <c r="R32" i="1" s="1"/>
  <c r="L32" i="1"/>
  <c r="I32" i="1"/>
  <c r="J32" i="1" s="1"/>
  <c r="Q10" i="1"/>
  <c r="R10" i="1" s="1"/>
  <c r="L10" i="1"/>
  <c r="I10" i="1"/>
  <c r="J10" i="1" s="1"/>
  <c r="Q21" i="1"/>
  <c r="R21" i="1" s="1"/>
  <c r="L21" i="1"/>
  <c r="I21" i="1"/>
  <c r="J21" i="1" s="1"/>
  <c r="Q31" i="1"/>
  <c r="R31" i="1" s="1"/>
  <c r="L31" i="1"/>
  <c r="I31" i="1"/>
  <c r="J31" i="1" s="1"/>
  <c r="Q16" i="1"/>
  <c r="R16" i="1" s="1"/>
  <c r="L16" i="1"/>
  <c r="I16" i="1"/>
  <c r="J16" i="1" s="1"/>
  <c r="S16" i="1" s="1"/>
  <c r="Q34" i="1"/>
  <c r="R34" i="1" s="1"/>
  <c r="L34" i="1"/>
  <c r="I34" i="1"/>
  <c r="J34" i="1" s="1"/>
  <c r="Q13" i="1"/>
  <c r="R13" i="1" s="1"/>
  <c r="L13" i="1"/>
  <c r="I13" i="1"/>
  <c r="J13" i="1" s="1"/>
  <c r="Q11" i="1"/>
  <c r="R11" i="1" s="1"/>
  <c r="L11" i="1"/>
  <c r="I11" i="1"/>
  <c r="J11" i="1" s="1"/>
  <c r="S11" i="1" s="1"/>
  <c r="Q28" i="1"/>
  <c r="R28" i="1" s="1"/>
  <c r="L28" i="1"/>
  <c r="I28" i="1"/>
  <c r="J28" i="1" s="1"/>
  <c r="S35" i="1" l="1"/>
  <c r="S7" i="1"/>
  <c r="S30" i="1"/>
  <c r="S27" i="1"/>
  <c r="S13" i="1"/>
  <c r="S15" i="1"/>
  <c r="S21" i="1"/>
  <c r="S23" i="1"/>
  <c r="S34" i="1"/>
  <c r="S19" i="1"/>
  <c r="S6" i="1"/>
  <c r="S32" i="1"/>
  <c r="S28" i="1"/>
  <c r="S26" i="1"/>
  <c r="S24" i="1"/>
  <c r="S20" i="1"/>
  <c r="S4" i="1"/>
  <c r="S9" i="1"/>
  <c r="S10" i="1"/>
  <c r="S17" i="1"/>
  <c r="S31" i="1"/>
  <c r="S29" i="1"/>
  <c r="S12" i="1"/>
</calcChain>
</file>

<file path=xl/sharedStrings.xml><?xml version="1.0" encoding="utf-8"?>
<sst xmlns="http://schemas.openxmlformats.org/spreadsheetml/2006/main" count="281" uniqueCount="146">
  <si>
    <t>专业</t>
  </si>
  <si>
    <t>班级</t>
  </si>
  <si>
    <t>姓名</t>
  </si>
  <si>
    <t>A1—基础分</t>
  </si>
  <si>
    <t>A2—附加分</t>
  </si>
  <si>
    <t>A3—扣罚分</t>
  </si>
  <si>
    <t>C1—科技类竞赛项目</t>
  </si>
  <si>
    <t>C2—体育竞技项目</t>
  </si>
  <si>
    <t>C3—文化类竞赛项目</t>
  </si>
  <si>
    <t>C4—创新创业实践项目</t>
  </si>
  <si>
    <t>网络工程</t>
  </si>
  <si>
    <t>韩子晨</t>
  </si>
  <si>
    <t>副班长+4分</t>
  </si>
  <si>
    <t>四级+10分 普通话证书+5</t>
  </si>
  <si>
    <t>聂泽宇</t>
  </si>
  <si>
    <t>五四红旗团支部+2分              宣传委员+4分   义务献血+1分   院级青协部长+4分</t>
  </si>
  <si>
    <t>“挑战杯”校三+4分</t>
  </si>
  <si>
    <t>贾昊</t>
  </si>
  <si>
    <t>五四红旗团支部+2分                 生活委员+4分   义务献血+1分   院级青协部长+4分</t>
  </si>
  <si>
    <t>篮球专业杯院二+4分，参与分+0.5分</t>
  </si>
  <si>
    <t>梁辰</t>
  </si>
  <si>
    <t>五四红旗团支部+2分</t>
  </si>
  <si>
    <t xml:space="preserve">四级+10分 </t>
  </si>
  <si>
    <t>胡天颖</t>
  </si>
  <si>
    <t>四级+10分 ，普通话证书＋5          
“述往思来，向史而新”院三+1分</t>
  </si>
  <si>
    <t>尹梓璇</t>
  </si>
  <si>
    <t>普通话+5分</t>
  </si>
  <si>
    <t>李博昊</t>
  </si>
  <si>
    <t>旷课-1</t>
  </si>
  <si>
    <t>孙陌晗</t>
  </si>
  <si>
    <t>文明宿舍+10分
文艺委员+4分
优秀社团+2分，五四红旗团支部+2分</t>
  </si>
  <si>
    <t>“外研社，国才杯”笔译校赛二等奖+6分</t>
  </si>
  <si>
    <t>.</t>
  </si>
  <si>
    <t>四级+10分
普通话+5分
“述往思来，向史而新”院三+1分</t>
  </si>
  <si>
    <t>关思豪</t>
  </si>
  <si>
    <t>旷课-3</t>
  </si>
  <si>
    <t>魏晓彤</t>
  </si>
  <si>
    <t>计算机设计大赛校级一等奖+10
计算机设计大赛省赛三等奖+10
中国国际大学生创新大赛三等奖+10，软件著作权作者+6分</t>
  </si>
  <si>
    <t>“述往思来，向史而新”院一+3分，
普通话+5分</t>
  </si>
  <si>
    <t>河北省省级大学生创新创业训练计划项目省级立项+14分，校级大学生创新创业训练计划项目校级立项+4分</t>
  </si>
  <si>
    <t>曹若鸿</t>
  </si>
  <si>
    <t>文明宿舍+10分，五四红旗团支部+2分</t>
  </si>
  <si>
    <t>“外研社，国才杯”校三+4分，</t>
  </si>
  <si>
    <t>四级+10分，六级+10分，普通话证书+5分</t>
  </si>
  <si>
    <t>姚英琪</t>
  </si>
  <si>
    <t>普通话证书+5分</t>
  </si>
  <si>
    <t>董思彤</t>
  </si>
  <si>
    <t>“外研社，国才杯”校二+6分，“外研社，国才杯”校三+4分，</t>
  </si>
  <si>
    <t>四级+10分，普通话证书+5分</t>
  </si>
  <si>
    <t>刘鹏瑀</t>
  </si>
  <si>
    <t>五四红旗团支部+2分，团支书+5分，优秀青年志愿者+5分，</t>
  </si>
  <si>
    <t>普通话证书+5分，三下乡参与分+0.5分，“述往思来，向史而新”院一+3分</t>
  </si>
  <si>
    <t>高禄成</t>
  </si>
  <si>
    <t>班长+5分，五四红旗团支部+2分</t>
  </si>
  <si>
    <t>H3C认证路由交换网络工程师证书+5分
普通话证书+5分</t>
  </si>
  <si>
    <t>宁云露</t>
  </si>
  <si>
    <t>文明宿舍+10分
组织委员+4分
优秀社团+2分，五四红旗团支部+2分</t>
  </si>
  <si>
    <t>“外研社，国才杯”校三+4分</t>
  </si>
  <si>
    <t>四级+10分
普通话证书+5分
“述往思来，向史而新”院三+1分</t>
  </si>
  <si>
    <t>王雨鑫</t>
  </si>
  <si>
    <t>体育委员+4分，五四红旗团支部+2分</t>
  </si>
  <si>
    <t>留校察看-30分
旷课-8分</t>
  </si>
  <si>
    <t>田宇航</t>
  </si>
  <si>
    <t>张义培</t>
  </si>
  <si>
    <t>杨鑫</t>
  </si>
  <si>
    <t>五四红旗团支部+2分，优秀社团活动积极分子+5分，文明宿舍+10分，</t>
  </si>
  <si>
    <t>普通话证书+5分，“述往思来，向史而新”院三+1分，H3C认证路由交换网络工程师证书+5分，四级+10分</t>
  </si>
  <si>
    <t>郝培森</t>
  </si>
  <si>
    <t>马康</t>
  </si>
  <si>
    <t>魏泽琰</t>
  </si>
  <si>
    <t>宿舍长+4分，五四红旗团支部+2分，优秀社团积极分子+5分</t>
  </si>
  <si>
    <t>“高教社杯”全国大学生数学建模竞赛省一+12分</t>
  </si>
  <si>
    <t>校级大学生创新创业训练计划项目结项+4分，校级大学生创新创业训练计划项目校级立项+4分</t>
  </si>
  <si>
    <t>郑宝均</t>
  </si>
  <si>
    <t>路文昊</t>
  </si>
  <si>
    <t>王天赐</t>
  </si>
  <si>
    <t>五四红旗团支部+2分，文明宿舍+10分，科协科普部部长+4分</t>
  </si>
  <si>
    <t>“第八届全国高校大学生外语水平能力大赛”国一+25分，“中国高校计算机大赛”省二+9分，河北省大学生创新方法大赛”省三+6分，“蓝桥杯”大赛省二+15分</t>
  </si>
  <si>
    <t>方阵+4分，校级飞盘比赛参与分+1分，院级足球比赛+0.5分</t>
  </si>
  <si>
    <t>河北省省级大学生创新创业训练计划项目省级立项+14分，校级大学生创新创业训练计划项目结项+4分，校级大学生创新创业训练计划项目校级立项+4分</t>
  </si>
  <si>
    <t>索利瑛</t>
  </si>
  <si>
    <t>宿舍长+4分，五四红旗团支部+2分</t>
  </si>
  <si>
    <t>软件著作权作者+2分，“挑战杯”校二+8分</t>
  </si>
  <si>
    <t xml:space="preserve">
普通话证书+5分，“述往思来，向史而新”院三+1分</t>
  </si>
  <si>
    <t>樊意彬</t>
  </si>
  <si>
    <t>五四红旗团支部+2分，文明宿舍+10分，学习委员+5分，</t>
  </si>
  <si>
    <t>“高教社杯”全国大学生数学建模竞赛省一+20分，软件著作权作者+6分，“第八届全国高校大学生外语水平能力大赛”国一+25分，“蓝桥杯”大赛省三+10分，“中国高校计算机大赛”省二+15分，“河北省大学生创新方法大赛”省三+10分</t>
  </si>
  <si>
    <t>体测良好+2分，飞盘校级比赛参与分+1分</t>
  </si>
  <si>
    <t>六级模拟比赛院级三等奖+1分，“征文比赛”院三+1分，“述往思来，向史而新”院一+3分，“挑战杯”校二+3分，四级+10分，“第十五届全国大学生电子商务‘创新、创意及创业’挑战赛”校一+2分，四级模拟+0.5分，六级模拟+0.5分，普通话证书+5分。</t>
  </si>
  <si>
    <t>陈笑甜</t>
  </si>
  <si>
    <t>学生会办公室部长+4分，五四红旗团支部+2分</t>
  </si>
  <si>
    <t>“第八届全国高校大学生外语水平能力大赛”国一+25分，</t>
  </si>
  <si>
    <t>“航天精神宣讲”比赛校三+2分，“述往思来，向史而新”院三+1分，“三行短诗献英魂”院一+3分，四级+10分，普通话证书+5分</t>
  </si>
  <si>
    <t>王志博</t>
  </si>
  <si>
    <t>五四红旗团支部+2分，文明宿舍+10分</t>
  </si>
  <si>
    <t>聂亚佳</t>
  </si>
  <si>
    <t>肖晨曦</t>
  </si>
  <si>
    <t>蓝桥杯大赛省三+10分，</t>
  </si>
  <si>
    <t>IT科技节校二+3分，“述往思来，向史而新”院一+3分</t>
  </si>
  <si>
    <t>计算机学院综合测评用表</t>
  </si>
  <si>
    <t>思想道德素质(A)</t>
  </si>
  <si>
    <t xml:space="preserve">学习成绩(B) </t>
  </si>
  <si>
    <t>素质拓展（C）</t>
  </si>
  <si>
    <t>总排名</t>
  </si>
  <si>
    <t>学号</t>
  </si>
  <si>
    <t>思想道德素质(A)总分</t>
  </si>
  <si>
    <t>思想道德素质(A)总分20%</t>
  </si>
  <si>
    <t>学习成绩</t>
  </si>
  <si>
    <t>学习成绩70%</t>
  </si>
  <si>
    <t>素质拓展（C）总分</t>
  </si>
  <si>
    <t>素质拓展（C）总分10%</t>
  </si>
  <si>
    <t>综合测评总成绩</t>
  </si>
  <si>
    <t>学生
签字</t>
  </si>
  <si>
    <t>202300502101</t>
  </si>
  <si>
    <t>202300502102</t>
  </si>
  <si>
    <t>202300502103</t>
  </si>
  <si>
    <t>202300502104</t>
  </si>
  <si>
    <t>202300502105</t>
  </si>
  <si>
    <t>202300502106</t>
  </si>
  <si>
    <t>202300502107</t>
  </si>
  <si>
    <t>202300502108</t>
  </si>
  <si>
    <t>202300502109</t>
  </si>
  <si>
    <t>202300502110</t>
  </si>
  <si>
    <t>202300502111</t>
  </si>
  <si>
    <t>202300502112</t>
  </si>
  <si>
    <t>202300502113</t>
  </si>
  <si>
    <t>202300502114</t>
  </si>
  <si>
    <t>202300502115</t>
  </si>
  <si>
    <t>202300502116</t>
  </si>
  <si>
    <t>202300502117</t>
  </si>
  <si>
    <t>202300502118</t>
  </si>
  <si>
    <t>202300502119</t>
  </si>
  <si>
    <t>202300502120</t>
  </si>
  <si>
    <t>202300502121</t>
  </si>
  <si>
    <t>202300502122</t>
  </si>
  <si>
    <t>202300502123</t>
  </si>
  <si>
    <t>202300502124</t>
  </si>
  <si>
    <t>202300502125</t>
  </si>
  <si>
    <t>202300502126</t>
  </si>
  <si>
    <t>202300502127</t>
  </si>
  <si>
    <t>202300502128</t>
  </si>
  <si>
    <t>202300502129</t>
  </si>
  <si>
    <t>202300502130</t>
  </si>
  <si>
    <t>202300502131</t>
  </si>
  <si>
    <t>班级测评小组组员签名</t>
  </si>
  <si>
    <t>班级测评小组组长签名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</si>
</sst>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#,##0.00_ "/>
  </numFmts>
  <fonts count="14" x14ac:knownFonts="1">
    <font>
      <sz val="11"/>
      <color theme="1"/>
      <name val="宋体"/>
      <charset val="134"/>
      <scheme val="minor"/>
    </font>
    <font>
      <sz val="12"/>
      <color theme="1"/>
      <name val="楷体"/>
      <charset val="134"/>
    </font>
    <font>
      <sz val="11"/>
      <color theme="1"/>
      <name val="宋体"/>
      <family val="3"/>
      <charset val="134"/>
      <scheme val="minor"/>
    </font>
    <font>
      <sz val="11"/>
      <name val="等线"/>
      <charset val="134"/>
    </font>
    <font>
      <sz val="11"/>
      <name val="宋体"/>
      <charset val="134"/>
    </font>
    <font>
      <sz val="28"/>
      <color theme="1"/>
      <name val="华文行楷"/>
      <charset val="134"/>
    </font>
    <font>
      <sz val="12"/>
      <color indexed="8"/>
      <name val="楷体"/>
      <charset val="134"/>
    </font>
    <font>
      <b/>
      <sz val="11"/>
      <color theme="1"/>
      <name val="宋体"/>
      <charset val="134"/>
    </font>
    <font>
      <sz val="10"/>
      <name val="Arial"/>
    </font>
    <font>
      <b/>
      <sz val="11"/>
      <name val="宋体"/>
      <charset val="134"/>
    </font>
    <font>
      <sz val="16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9"/>
  </cellStyleXfs>
  <cellXfs count="39">
    <xf numFmtId="0" fontId="0" fillId="0" borderId="0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/>
    <xf numFmtId="0" fontId="12" fillId="0" borderId="1" xfId="0" applyFont="1" applyBorder="1"/>
    <xf numFmtId="1" fontId="12" fillId="0" borderId="3" xfId="0" applyNumberFormat="1" applyFont="1" applyBorder="1" applyAlignment="1">
      <alignment vertical="center"/>
    </xf>
    <xf numFmtId="176" fontId="3" fillId="0" borderId="4" xfId="0" applyNumberFormat="1" applyFont="1" applyBorder="1" applyAlignment="1">
      <alignment vertical="center"/>
    </xf>
    <xf numFmtId="0" fontId="4" fillId="0" borderId="5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1" fontId="2" fillId="0" borderId="3" xfId="0" applyNumberFormat="1" applyFont="1" applyBorder="1" applyAlignment="1">
      <alignment vertical="center"/>
    </xf>
    <xf numFmtId="0" fontId="12" fillId="0" borderId="6" xfId="0" applyFont="1" applyBorder="1"/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vertical="center"/>
    </xf>
    <xf numFmtId="177" fontId="7" fillId="0" borderId="3" xfId="0" applyNumberFormat="1" applyFont="1" applyBorder="1"/>
    <xf numFmtId="0" fontId="8" fillId="0" borderId="4" xfId="0" applyFont="1" applyBorder="1" applyAlignment="1">
      <alignment vertical="center"/>
    </xf>
    <xf numFmtId="177" fontId="7" fillId="0" borderId="5" xfId="0" applyNumberFormat="1" applyFont="1" applyBorder="1"/>
    <xf numFmtId="0" fontId="7" fillId="0" borderId="1" xfId="0" applyFont="1" applyBorder="1"/>
    <xf numFmtId="177" fontId="12" fillId="0" borderId="3" xfId="0" applyNumberFormat="1" applyFont="1" applyBorder="1"/>
    <xf numFmtId="0" fontId="12" fillId="0" borderId="4" xfId="0" applyFont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177" fontId="9" fillId="0" borderId="5" xfId="0" applyNumberFormat="1" applyFont="1" applyBorder="1"/>
    <xf numFmtId="0" fontId="9" fillId="0" borderId="1" xfId="0" applyFont="1" applyBorder="1"/>
    <xf numFmtId="1" fontId="2" fillId="0" borderId="1" xfId="0" applyNumberFormat="1" applyFont="1" applyBorder="1" applyAlignment="1">
      <alignment vertical="center"/>
    </xf>
    <xf numFmtId="177" fontId="12" fillId="0" borderId="1" xfId="0" applyNumberFormat="1" applyFont="1" applyBorder="1"/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2" borderId="9" xfId="0" applyFont="1" applyFill="1" applyAlignment="1">
      <alignment horizontal="center" vertical="center" wrapText="1"/>
    </xf>
    <xf numFmtId="0" fontId="12" fillId="2" borderId="9" xfId="0" applyFont="1" applyFill="1" applyAlignment="1">
      <alignment horizontal="center" vertical="center"/>
    </xf>
    <xf numFmtId="0" fontId="11" fillId="2" borderId="9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0" borderId="9" xfId="0" applyFont="1"/>
    <xf numFmtId="0" fontId="10" fillId="0" borderId="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5"/>
  <sheetViews>
    <sheetView tabSelected="1" workbookViewId="0">
      <selection activeCell="M27" sqref="M11:M27"/>
    </sheetView>
  </sheetViews>
  <sheetFormatPr defaultColWidth="8.90625" defaultRowHeight="14" x14ac:dyDescent="0.25"/>
  <cols>
    <col min="1" max="1" width="5.6328125" style="30" bestFit="1" customWidth="1"/>
    <col min="2" max="2" width="9.26953125" style="30" bestFit="1" customWidth="1"/>
    <col min="3" max="3" width="7.26953125" style="30" bestFit="1" customWidth="1"/>
    <col min="4" max="4" width="7.26953125" style="31" bestFit="1" customWidth="1"/>
    <col min="5" max="5" width="13.54296875" style="30" bestFit="1" customWidth="1"/>
    <col min="6" max="8" width="7.81640625" style="30" bestFit="1" customWidth="1"/>
    <col min="9" max="10" width="8.90625" style="30"/>
    <col min="11" max="13" width="7.81640625" style="30" bestFit="1" customWidth="1"/>
    <col min="14" max="14" width="5.6328125" style="30" bestFit="1" customWidth="1"/>
    <col min="15" max="16" width="7.81640625" style="30" bestFit="1" customWidth="1"/>
    <col min="17" max="18" width="8.90625" style="30"/>
    <col min="19" max="19" width="7.81640625" style="30" bestFit="1" customWidth="1"/>
    <col min="20" max="20" width="5.6328125" style="30" bestFit="1" customWidth="1"/>
    <col min="21" max="25" width="8.90625" style="30"/>
  </cols>
  <sheetData>
    <row r="1" spans="1:21" ht="56.5" customHeight="1" x14ac:dyDescent="0.25">
      <c r="A1" s="37" t="s">
        <v>99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</row>
    <row r="2" spans="1:21" ht="26.15" customHeight="1" x14ac:dyDescent="0.25">
      <c r="A2" s="1"/>
      <c r="B2" s="1"/>
      <c r="C2" s="1"/>
      <c r="D2" s="1"/>
      <c r="E2" s="1"/>
      <c r="F2" s="38" t="s">
        <v>100</v>
      </c>
      <c r="G2" s="38"/>
      <c r="H2" s="38"/>
      <c r="I2" s="38"/>
      <c r="J2" s="38"/>
      <c r="K2" s="38" t="s">
        <v>101</v>
      </c>
      <c r="L2" s="38"/>
      <c r="M2" s="38" t="s">
        <v>102</v>
      </c>
      <c r="N2" s="38"/>
      <c r="O2" s="38"/>
      <c r="P2" s="38"/>
      <c r="Q2" s="38"/>
      <c r="R2" s="38"/>
      <c r="S2" s="1"/>
      <c r="T2" s="12"/>
    </row>
    <row r="3" spans="1:21" ht="60" x14ac:dyDescent="0.25">
      <c r="A3" s="1" t="s">
        <v>103</v>
      </c>
      <c r="B3" s="1" t="s">
        <v>0</v>
      </c>
      <c r="C3" s="1" t="s">
        <v>1</v>
      </c>
      <c r="D3" s="1" t="s">
        <v>2</v>
      </c>
      <c r="E3" s="13" t="s">
        <v>104</v>
      </c>
      <c r="F3" s="1" t="s">
        <v>3</v>
      </c>
      <c r="G3" s="1" t="s">
        <v>4</v>
      </c>
      <c r="H3" s="1" t="s">
        <v>5</v>
      </c>
      <c r="I3" s="1" t="s">
        <v>105</v>
      </c>
      <c r="J3" s="1" t="s">
        <v>106</v>
      </c>
      <c r="K3" s="2" t="s">
        <v>107</v>
      </c>
      <c r="L3" s="1" t="s">
        <v>108</v>
      </c>
      <c r="M3" s="1" t="s">
        <v>6</v>
      </c>
      <c r="N3" s="1" t="s">
        <v>7</v>
      </c>
      <c r="O3" s="1" t="s">
        <v>8</v>
      </c>
      <c r="P3" s="1" t="s">
        <v>9</v>
      </c>
      <c r="Q3" s="1" t="s">
        <v>109</v>
      </c>
      <c r="R3" s="1" t="s">
        <v>110</v>
      </c>
      <c r="S3" s="14" t="s">
        <v>111</v>
      </c>
      <c r="T3" s="2" t="s">
        <v>112</v>
      </c>
    </row>
    <row r="4" spans="1:21" ht="15" x14ac:dyDescent="0.25">
      <c r="A4" s="1">
        <v>1</v>
      </c>
      <c r="B4" s="3" t="s">
        <v>10</v>
      </c>
      <c r="C4" s="4">
        <v>230521</v>
      </c>
      <c r="D4" s="15" t="s">
        <v>84</v>
      </c>
      <c r="E4" s="15" t="s">
        <v>140</v>
      </c>
      <c r="F4" s="6">
        <v>20</v>
      </c>
      <c r="G4" s="4">
        <v>17</v>
      </c>
      <c r="H4" s="4"/>
      <c r="I4" s="4">
        <f t="shared" ref="I4:I16" si="0">F4+G4-H4</f>
        <v>37</v>
      </c>
      <c r="J4" s="16">
        <f t="shared" ref="J4:J35" si="1">I4*0.2</f>
        <v>7.4</v>
      </c>
      <c r="K4" s="17">
        <v>89.65</v>
      </c>
      <c r="L4" s="23">
        <f t="shared" ref="L4:L35" si="2">K4*0.7</f>
        <v>62.755000000000003</v>
      </c>
      <c r="M4" s="4">
        <v>40</v>
      </c>
      <c r="N4" s="4">
        <v>3</v>
      </c>
      <c r="O4" s="4">
        <v>20</v>
      </c>
      <c r="P4" s="4">
        <v>20</v>
      </c>
      <c r="Q4" s="19">
        <f t="shared" ref="Q4:Q19" si="3">M4+N4+O4+P4</f>
        <v>83</v>
      </c>
      <c r="R4" s="4">
        <f t="shared" ref="R4:R35" si="4">Q4*0.1</f>
        <v>8.3000000000000007</v>
      </c>
      <c r="S4" s="20">
        <f t="shared" ref="S4:S35" si="5">J4+L4+R4</f>
        <v>78.454999999999998</v>
      </c>
      <c r="T4" s="21"/>
      <c r="U4" s="22"/>
    </row>
    <row r="5" spans="1:21" ht="15" x14ac:dyDescent="0.25">
      <c r="A5" s="1">
        <v>2</v>
      </c>
      <c r="B5" s="3" t="s">
        <v>10</v>
      </c>
      <c r="C5" s="4">
        <v>230521</v>
      </c>
      <c r="D5" s="15" t="s">
        <v>75</v>
      </c>
      <c r="E5" s="15" t="s">
        <v>138</v>
      </c>
      <c r="F5" s="6">
        <v>20</v>
      </c>
      <c r="G5" s="4">
        <v>16</v>
      </c>
      <c r="H5" s="4"/>
      <c r="I5" s="4">
        <f t="shared" si="0"/>
        <v>36</v>
      </c>
      <c r="J5" s="16">
        <f t="shared" si="1"/>
        <v>7.2</v>
      </c>
      <c r="K5" s="17">
        <v>87.97</v>
      </c>
      <c r="L5" s="23">
        <f t="shared" si="2"/>
        <v>61.578999999999994</v>
      </c>
      <c r="M5" s="4">
        <v>40</v>
      </c>
      <c r="N5" s="4">
        <v>5.5</v>
      </c>
      <c r="O5" s="4">
        <v>20</v>
      </c>
      <c r="P5" s="4">
        <v>20</v>
      </c>
      <c r="Q5" s="24">
        <f t="shared" si="3"/>
        <v>85.5</v>
      </c>
      <c r="R5" s="4">
        <f t="shared" si="4"/>
        <v>8.5500000000000007</v>
      </c>
      <c r="S5" s="20">
        <f t="shared" si="5"/>
        <v>77.328999999999994</v>
      </c>
      <c r="T5" s="21"/>
      <c r="U5" s="22"/>
    </row>
    <row r="6" spans="1:21" ht="15" x14ac:dyDescent="0.25">
      <c r="A6" s="1">
        <v>3</v>
      </c>
      <c r="B6" s="3" t="s">
        <v>10</v>
      </c>
      <c r="C6" s="4">
        <v>230521</v>
      </c>
      <c r="D6" s="15" t="s">
        <v>89</v>
      </c>
      <c r="E6" s="15" t="s">
        <v>141</v>
      </c>
      <c r="F6" s="6">
        <v>20</v>
      </c>
      <c r="G6" s="4">
        <v>6</v>
      </c>
      <c r="H6" s="4"/>
      <c r="I6" s="4">
        <f t="shared" si="0"/>
        <v>26</v>
      </c>
      <c r="J6" s="16">
        <f t="shared" si="1"/>
        <v>5.2</v>
      </c>
      <c r="K6" s="17">
        <v>91</v>
      </c>
      <c r="L6" s="23">
        <f t="shared" si="2"/>
        <v>63.699999999999996</v>
      </c>
      <c r="M6" s="4">
        <v>25</v>
      </c>
      <c r="N6" s="4"/>
      <c r="O6" s="4">
        <v>20</v>
      </c>
      <c r="P6" s="4"/>
      <c r="Q6" s="24">
        <f t="shared" si="3"/>
        <v>45</v>
      </c>
      <c r="R6" s="4">
        <f t="shared" si="4"/>
        <v>4.5</v>
      </c>
      <c r="S6" s="20">
        <f t="shared" si="5"/>
        <v>73.399999999999991</v>
      </c>
      <c r="T6" s="21"/>
      <c r="U6" s="22"/>
    </row>
    <row r="7" spans="1:21" ht="15" x14ac:dyDescent="0.25">
      <c r="A7" s="1">
        <v>4</v>
      </c>
      <c r="B7" s="3" t="s">
        <v>10</v>
      </c>
      <c r="C7" s="4">
        <v>230521</v>
      </c>
      <c r="D7" s="15" t="s">
        <v>64</v>
      </c>
      <c r="E7" s="15" t="s">
        <v>132</v>
      </c>
      <c r="F7" s="6">
        <v>20</v>
      </c>
      <c r="G7" s="4">
        <v>17</v>
      </c>
      <c r="H7" s="4"/>
      <c r="I7" s="4">
        <f t="shared" si="0"/>
        <v>37</v>
      </c>
      <c r="J7" s="16">
        <f t="shared" si="1"/>
        <v>7.4</v>
      </c>
      <c r="K7" s="17">
        <v>91.05</v>
      </c>
      <c r="L7" s="23">
        <f t="shared" si="2"/>
        <v>63.734999999999992</v>
      </c>
      <c r="M7" s="4"/>
      <c r="N7" s="4"/>
      <c r="O7" s="4">
        <v>20</v>
      </c>
      <c r="P7" s="4"/>
      <c r="Q7" s="24">
        <f t="shared" si="3"/>
        <v>20</v>
      </c>
      <c r="R7" s="4">
        <f t="shared" si="4"/>
        <v>2</v>
      </c>
      <c r="S7" s="20">
        <f t="shared" si="5"/>
        <v>73.134999999999991</v>
      </c>
      <c r="T7" s="21"/>
      <c r="U7" s="22"/>
    </row>
    <row r="8" spans="1:21" ht="15" x14ac:dyDescent="0.25">
      <c r="A8" s="1">
        <v>5</v>
      </c>
      <c r="B8" s="3" t="s">
        <v>10</v>
      </c>
      <c r="C8" s="4">
        <v>230521</v>
      </c>
      <c r="D8" s="15" t="s">
        <v>36</v>
      </c>
      <c r="E8" s="15" t="s">
        <v>122</v>
      </c>
      <c r="F8" s="6">
        <v>8.39</v>
      </c>
      <c r="G8" s="4">
        <v>2</v>
      </c>
      <c r="H8" s="4">
        <v>1</v>
      </c>
      <c r="I8" s="4">
        <f t="shared" si="0"/>
        <v>9.39</v>
      </c>
      <c r="J8" s="16">
        <f t="shared" si="1"/>
        <v>1.8780000000000001</v>
      </c>
      <c r="K8" s="17">
        <v>89.15</v>
      </c>
      <c r="L8" s="23">
        <f t="shared" si="2"/>
        <v>62.405000000000001</v>
      </c>
      <c r="M8" s="4">
        <v>36</v>
      </c>
      <c r="N8" s="4"/>
      <c r="O8" s="4">
        <v>8</v>
      </c>
      <c r="P8" s="4">
        <v>18</v>
      </c>
      <c r="Q8" s="24">
        <f t="shared" si="3"/>
        <v>62</v>
      </c>
      <c r="R8" s="4">
        <f t="shared" si="4"/>
        <v>6.2</v>
      </c>
      <c r="S8" s="20">
        <f t="shared" si="5"/>
        <v>70.483000000000004</v>
      </c>
      <c r="T8" s="21"/>
      <c r="U8" s="22"/>
    </row>
    <row r="9" spans="1:21" ht="15" x14ac:dyDescent="0.25">
      <c r="A9" s="1">
        <v>6</v>
      </c>
      <c r="B9" s="3" t="s">
        <v>10</v>
      </c>
      <c r="C9" s="4">
        <v>230521</v>
      </c>
      <c r="D9" s="15" t="s">
        <v>55</v>
      </c>
      <c r="E9" s="15" t="s">
        <v>128</v>
      </c>
      <c r="F9" s="6">
        <v>20</v>
      </c>
      <c r="G9" s="4">
        <v>18</v>
      </c>
      <c r="H9" s="32"/>
      <c r="I9" s="4">
        <f t="shared" si="0"/>
        <v>38</v>
      </c>
      <c r="J9" s="16">
        <f t="shared" si="1"/>
        <v>7.6000000000000005</v>
      </c>
      <c r="K9" s="17">
        <v>82.21</v>
      </c>
      <c r="L9" s="23">
        <f t="shared" si="2"/>
        <v>57.54699999999999</v>
      </c>
      <c r="M9" s="4">
        <v>4</v>
      </c>
      <c r="N9" s="4"/>
      <c r="O9" s="4">
        <v>16</v>
      </c>
      <c r="P9" s="4"/>
      <c r="Q9" s="24">
        <f t="shared" si="3"/>
        <v>20</v>
      </c>
      <c r="R9" s="4">
        <f t="shared" si="4"/>
        <v>2</v>
      </c>
      <c r="S9" s="20">
        <f t="shared" si="5"/>
        <v>67.146999999999991</v>
      </c>
      <c r="T9" s="21"/>
      <c r="U9" s="22"/>
    </row>
    <row r="10" spans="1:21" ht="15" x14ac:dyDescent="0.25">
      <c r="A10" s="1">
        <v>7</v>
      </c>
      <c r="B10" s="3" t="s">
        <v>10</v>
      </c>
      <c r="C10" s="4">
        <v>230521</v>
      </c>
      <c r="D10" s="15" t="s">
        <v>29</v>
      </c>
      <c r="E10" s="15" t="s">
        <v>120</v>
      </c>
      <c r="F10" s="6">
        <v>20</v>
      </c>
      <c r="G10" s="4">
        <v>18</v>
      </c>
      <c r="H10" s="4"/>
      <c r="I10" s="4">
        <f t="shared" si="0"/>
        <v>38</v>
      </c>
      <c r="J10" s="16">
        <f t="shared" si="1"/>
        <v>7.6000000000000005</v>
      </c>
      <c r="K10" s="17">
        <v>81.34</v>
      </c>
      <c r="L10" s="23">
        <f t="shared" si="2"/>
        <v>56.937999999999995</v>
      </c>
      <c r="M10" s="4">
        <v>6</v>
      </c>
      <c r="N10" s="4"/>
      <c r="O10" s="4">
        <v>16</v>
      </c>
      <c r="P10" s="4"/>
      <c r="Q10" s="24">
        <f t="shared" si="3"/>
        <v>22</v>
      </c>
      <c r="R10" s="4">
        <f t="shared" si="4"/>
        <v>2.2000000000000002</v>
      </c>
      <c r="S10" s="20">
        <f t="shared" si="5"/>
        <v>66.738</v>
      </c>
      <c r="T10" s="21"/>
      <c r="U10" s="22"/>
    </row>
    <row r="11" spans="1:21" ht="15" x14ac:dyDescent="0.25">
      <c r="A11" s="1">
        <v>8</v>
      </c>
      <c r="B11" s="3" t="s">
        <v>10</v>
      </c>
      <c r="C11" s="4">
        <v>230521</v>
      </c>
      <c r="D11" s="15" t="s">
        <v>14</v>
      </c>
      <c r="E11" s="15" t="s">
        <v>114</v>
      </c>
      <c r="F11" s="6">
        <v>20</v>
      </c>
      <c r="G11" s="4">
        <v>11</v>
      </c>
      <c r="H11" s="4"/>
      <c r="I11" s="4">
        <f t="shared" si="0"/>
        <v>31</v>
      </c>
      <c r="J11" s="16">
        <f t="shared" si="1"/>
        <v>6.2</v>
      </c>
      <c r="K11" s="17">
        <v>82.34</v>
      </c>
      <c r="L11" s="23">
        <f t="shared" si="2"/>
        <v>57.637999999999998</v>
      </c>
      <c r="M11" s="4">
        <v>4</v>
      </c>
      <c r="N11" s="4"/>
      <c r="O11" s="4">
        <v>15</v>
      </c>
      <c r="P11" s="4"/>
      <c r="Q11" s="24">
        <f t="shared" si="3"/>
        <v>19</v>
      </c>
      <c r="R11" s="4">
        <f t="shared" si="4"/>
        <v>1.9000000000000001</v>
      </c>
      <c r="S11" s="20">
        <f t="shared" si="5"/>
        <v>65.738</v>
      </c>
      <c r="T11" s="21"/>
      <c r="U11" s="22"/>
    </row>
    <row r="12" spans="1:21" ht="15" x14ac:dyDescent="0.25">
      <c r="A12" s="1">
        <v>9</v>
      </c>
      <c r="B12" s="3" t="s">
        <v>10</v>
      </c>
      <c r="C12" s="4">
        <v>230521</v>
      </c>
      <c r="D12" s="15" t="s">
        <v>80</v>
      </c>
      <c r="E12" s="15" t="s">
        <v>139</v>
      </c>
      <c r="F12" s="6">
        <v>3.67</v>
      </c>
      <c r="G12" s="4">
        <v>6</v>
      </c>
      <c r="H12" s="4"/>
      <c r="I12" s="4">
        <f t="shared" si="0"/>
        <v>9.67</v>
      </c>
      <c r="J12" s="16">
        <f t="shared" si="1"/>
        <v>1.9340000000000002</v>
      </c>
      <c r="K12" s="17">
        <v>87.51</v>
      </c>
      <c r="L12" s="23">
        <f t="shared" si="2"/>
        <v>61.256999999999998</v>
      </c>
      <c r="M12" s="4">
        <v>10</v>
      </c>
      <c r="N12" s="4"/>
      <c r="O12" s="4">
        <v>6</v>
      </c>
      <c r="P12" s="4"/>
      <c r="Q12" s="24">
        <f t="shared" si="3"/>
        <v>16</v>
      </c>
      <c r="R12" s="4">
        <f t="shared" si="4"/>
        <v>1.6</v>
      </c>
      <c r="S12" s="20">
        <f t="shared" si="5"/>
        <v>64.790999999999997</v>
      </c>
      <c r="T12" s="21"/>
      <c r="U12" s="22"/>
    </row>
    <row r="13" spans="1:21" ht="15" x14ac:dyDescent="0.25">
      <c r="A13" s="1">
        <v>10</v>
      </c>
      <c r="B13" s="3" t="s">
        <v>10</v>
      </c>
      <c r="C13" s="4">
        <v>230521</v>
      </c>
      <c r="D13" s="15" t="s">
        <v>17</v>
      </c>
      <c r="E13" s="15" t="s">
        <v>115</v>
      </c>
      <c r="F13" s="6">
        <v>20</v>
      </c>
      <c r="G13" s="4">
        <v>11</v>
      </c>
      <c r="H13" s="4"/>
      <c r="I13" s="4">
        <f t="shared" si="0"/>
        <v>31</v>
      </c>
      <c r="J13" s="16">
        <f t="shared" si="1"/>
        <v>6.2</v>
      </c>
      <c r="K13" s="17">
        <v>80.819999999999993</v>
      </c>
      <c r="L13" s="23">
        <f t="shared" si="2"/>
        <v>56.573999999999991</v>
      </c>
      <c r="M13" s="4"/>
      <c r="N13" s="4">
        <v>4.5</v>
      </c>
      <c r="O13" s="4">
        <v>15</v>
      </c>
      <c r="P13" s="4"/>
      <c r="Q13" s="24">
        <f t="shared" si="3"/>
        <v>19.5</v>
      </c>
      <c r="R13" s="4">
        <f t="shared" si="4"/>
        <v>1.9500000000000002</v>
      </c>
      <c r="S13" s="20">
        <f t="shared" si="5"/>
        <v>64.72399999999999</v>
      </c>
      <c r="T13" s="21"/>
      <c r="U13" s="22"/>
    </row>
    <row r="14" spans="1:21" ht="15" x14ac:dyDescent="0.25">
      <c r="A14" s="1">
        <v>11</v>
      </c>
      <c r="B14" s="3" t="s">
        <v>10</v>
      </c>
      <c r="C14" s="4">
        <v>230521</v>
      </c>
      <c r="D14" s="15" t="s">
        <v>40</v>
      </c>
      <c r="E14" s="15" t="s">
        <v>123</v>
      </c>
      <c r="F14" s="6">
        <v>12.07</v>
      </c>
      <c r="G14" s="4">
        <v>12</v>
      </c>
      <c r="H14" s="4"/>
      <c r="I14" s="4">
        <f t="shared" si="0"/>
        <v>24.07</v>
      </c>
      <c r="J14" s="16">
        <f t="shared" si="1"/>
        <v>4.8140000000000001</v>
      </c>
      <c r="K14" s="17">
        <v>80.63</v>
      </c>
      <c r="L14" s="23">
        <f t="shared" si="2"/>
        <v>56.440999999999995</v>
      </c>
      <c r="M14" s="4">
        <v>4</v>
      </c>
      <c r="N14" s="4">
        <v>4.5</v>
      </c>
      <c r="O14" s="4">
        <v>20</v>
      </c>
      <c r="P14" s="4"/>
      <c r="Q14" s="24">
        <f t="shared" si="3"/>
        <v>28.5</v>
      </c>
      <c r="R14" s="4">
        <f t="shared" si="4"/>
        <v>2.85</v>
      </c>
      <c r="S14" s="20">
        <f t="shared" si="5"/>
        <v>64.10499999999999</v>
      </c>
      <c r="T14" s="21"/>
      <c r="U14" s="22"/>
    </row>
    <row r="15" spans="1:21" ht="15" x14ac:dyDescent="0.25">
      <c r="A15" s="1">
        <v>12</v>
      </c>
      <c r="B15" s="3" t="s">
        <v>10</v>
      </c>
      <c r="C15" s="4">
        <v>230521</v>
      </c>
      <c r="D15" s="15" t="s">
        <v>46</v>
      </c>
      <c r="E15" s="15" t="s">
        <v>125</v>
      </c>
      <c r="F15" s="6">
        <v>4.2</v>
      </c>
      <c r="G15" s="4">
        <v>12</v>
      </c>
      <c r="H15" s="4"/>
      <c r="I15" s="4">
        <f t="shared" si="0"/>
        <v>16.2</v>
      </c>
      <c r="J15" s="16">
        <f t="shared" si="1"/>
        <v>3.24</v>
      </c>
      <c r="K15" s="17">
        <v>82.29</v>
      </c>
      <c r="L15" s="23">
        <f t="shared" si="2"/>
        <v>57.603000000000002</v>
      </c>
      <c r="M15" s="4">
        <v>10</v>
      </c>
      <c r="N15" s="4"/>
      <c r="O15" s="4">
        <v>15</v>
      </c>
      <c r="P15" s="4"/>
      <c r="Q15" s="24">
        <f t="shared" si="3"/>
        <v>25</v>
      </c>
      <c r="R15" s="4">
        <f t="shared" si="4"/>
        <v>2.5</v>
      </c>
      <c r="S15" s="20">
        <f t="shared" si="5"/>
        <v>63.343000000000004</v>
      </c>
      <c r="T15" s="21"/>
      <c r="U15" s="22"/>
    </row>
    <row r="16" spans="1:21" ht="15" x14ac:dyDescent="0.25">
      <c r="A16" s="1">
        <v>13</v>
      </c>
      <c r="B16" s="3" t="s">
        <v>10</v>
      </c>
      <c r="C16" s="4">
        <v>230521</v>
      </c>
      <c r="D16" s="15" t="s">
        <v>23</v>
      </c>
      <c r="E16" s="15" t="s">
        <v>117</v>
      </c>
      <c r="F16" s="6">
        <v>6.3</v>
      </c>
      <c r="G16" s="4">
        <v>2</v>
      </c>
      <c r="H16" s="4"/>
      <c r="I16" s="4">
        <f t="shared" si="0"/>
        <v>8.3000000000000007</v>
      </c>
      <c r="J16" s="16">
        <f t="shared" si="1"/>
        <v>1.6600000000000001</v>
      </c>
      <c r="K16" s="17">
        <v>85.01</v>
      </c>
      <c r="L16" s="23">
        <f t="shared" si="2"/>
        <v>59.506999999999998</v>
      </c>
      <c r="M16" s="4"/>
      <c r="N16" s="4"/>
      <c r="O16" s="4">
        <v>16</v>
      </c>
      <c r="P16" s="4"/>
      <c r="Q16" s="24">
        <f t="shared" si="3"/>
        <v>16</v>
      </c>
      <c r="R16" s="4">
        <f t="shared" si="4"/>
        <v>1.6</v>
      </c>
      <c r="S16" s="20">
        <f t="shared" si="5"/>
        <v>62.767000000000003</v>
      </c>
      <c r="T16" s="21"/>
      <c r="U16" s="22"/>
    </row>
    <row r="17" spans="1:21" ht="15" x14ac:dyDescent="0.25">
      <c r="A17" s="1">
        <v>14</v>
      </c>
      <c r="B17" s="3" t="s">
        <v>10</v>
      </c>
      <c r="C17" s="4">
        <v>230521</v>
      </c>
      <c r="D17" s="15" t="s">
        <v>93</v>
      </c>
      <c r="E17" s="15" t="s">
        <v>142</v>
      </c>
      <c r="F17" s="6">
        <v>13.12</v>
      </c>
      <c r="G17" s="4">
        <v>12</v>
      </c>
      <c r="H17" s="4"/>
      <c r="I17" s="4">
        <f>F17+G17-J23</f>
        <v>21.361999999999998</v>
      </c>
      <c r="J17" s="16">
        <f t="shared" si="1"/>
        <v>4.2724000000000002</v>
      </c>
      <c r="K17" s="17">
        <v>80.31</v>
      </c>
      <c r="L17" s="23">
        <f t="shared" si="2"/>
        <v>56.216999999999999</v>
      </c>
      <c r="M17" s="4"/>
      <c r="N17" s="4"/>
      <c r="O17" s="4">
        <v>5</v>
      </c>
      <c r="P17" s="4"/>
      <c r="Q17" s="24">
        <f t="shared" si="3"/>
        <v>5</v>
      </c>
      <c r="R17" s="4">
        <f t="shared" si="4"/>
        <v>0.5</v>
      </c>
      <c r="S17" s="20">
        <f t="shared" si="5"/>
        <v>60.989399999999996</v>
      </c>
      <c r="T17" s="21"/>
      <c r="U17" s="22"/>
    </row>
    <row r="18" spans="1:21" ht="15" x14ac:dyDescent="0.25">
      <c r="A18" s="1">
        <v>15</v>
      </c>
      <c r="B18" s="3" t="s">
        <v>10</v>
      </c>
      <c r="C18" s="4">
        <v>230521</v>
      </c>
      <c r="D18" s="15" t="s">
        <v>49</v>
      </c>
      <c r="E18" s="15" t="s">
        <v>126</v>
      </c>
      <c r="F18" s="6">
        <v>20</v>
      </c>
      <c r="G18" s="4">
        <v>12</v>
      </c>
      <c r="H18" s="4"/>
      <c r="I18" s="4">
        <f t="shared" ref="I18:I35" si="6">F18+G18-H18</f>
        <v>32</v>
      </c>
      <c r="J18" s="16">
        <f t="shared" si="1"/>
        <v>6.4</v>
      </c>
      <c r="K18" s="17">
        <v>77.67</v>
      </c>
      <c r="L18" s="23">
        <f t="shared" si="2"/>
        <v>54.369</v>
      </c>
      <c r="M18" s="4"/>
      <c r="N18" s="4"/>
      <c r="O18" s="4">
        <v>8.5</v>
      </c>
      <c r="P18" s="4"/>
      <c r="Q18" s="24">
        <f t="shared" si="3"/>
        <v>8.5</v>
      </c>
      <c r="R18" s="4">
        <f t="shared" si="4"/>
        <v>0.85000000000000009</v>
      </c>
      <c r="S18" s="20">
        <f t="shared" si="5"/>
        <v>61.619</v>
      </c>
      <c r="T18" s="21"/>
      <c r="U18" s="22"/>
    </row>
    <row r="19" spans="1:21" ht="15" x14ac:dyDescent="0.25">
      <c r="A19" s="1">
        <v>16</v>
      </c>
      <c r="B19" s="3" t="s">
        <v>10</v>
      </c>
      <c r="C19" s="4">
        <v>230521</v>
      </c>
      <c r="D19" s="15" t="s">
        <v>44</v>
      </c>
      <c r="E19" s="15" t="s">
        <v>124</v>
      </c>
      <c r="F19" s="6">
        <v>9.9700000000000006</v>
      </c>
      <c r="G19" s="4">
        <v>2</v>
      </c>
      <c r="H19" s="33"/>
      <c r="I19" s="4">
        <f t="shared" si="6"/>
        <v>11.97</v>
      </c>
      <c r="J19" s="16">
        <f t="shared" si="1"/>
        <v>2.3940000000000001</v>
      </c>
      <c r="K19" s="17">
        <v>82.9</v>
      </c>
      <c r="L19" s="23">
        <f t="shared" si="2"/>
        <v>58.03</v>
      </c>
      <c r="M19" s="4"/>
      <c r="N19" s="4"/>
      <c r="O19" s="4">
        <v>5</v>
      </c>
      <c r="P19" s="4"/>
      <c r="Q19" s="24">
        <f t="shared" si="3"/>
        <v>5</v>
      </c>
      <c r="R19" s="4">
        <f t="shared" si="4"/>
        <v>0.5</v>
      </c>
      <c r="S19" s="20">
        <f t="shared" si="5"/>
        <v>60.923999999999999</v>
      </c>
      <c r="T19" s="21"/>
      <c r="U19" s="22"/>
    </row>
    <row r="20" spans="1:21" ht="15" x14ac:dyDescent="0.25">
      <c r="A20" s="1">
        <v>17</v>
      </c>
      <c r="B20" s="3" t="s">
        <v>10</v>
      </c>
      <c r="C20" s="4">
        <v>230521</v>
      </c>
      <c r="D20" s="15" t="s">
        <v>52</v>
      </c>
      <c r="E20" s="15" t="s">
        <v>127</v>
      </c>
      <c r="F20" s="6">
        <v>13.64</v>
      </c>
      <c r="G20" s="4">
        <v>7</v>
      </c>
      <c r="H20" s="4"/>
      <c r="I20" s="4">
        <f t="shared" si="6"/>
        <v>20.64</v>
      </c>
      <c r="J20" s="16">
        <f t="shared" si="1"/>
        <v>4.1280000000000001</v>
      </c>
      <c r="K20" s="17">
        <v>79.319999999999993</v>
      </c>
      <c r="L20" s="23">
        <f t="shared" si="2"/>
        <v>55.523999999999994</v>
      </c>
      <c r="M20" s="4"/>
      <c r="N20" s="4"/>
      <c r="O20" s="4">
        <v>10</v>
      </c>
      <c r="P20" s="4"/>
      <c r="Q20" s="24">
        <f>M20+N20+O20+P10</f>
        <v>10</v>
      </c>
      <c r="R20" s="4">
        <f t="shared" si="4"/>
        <v>1</v>
      </c>
      <c r="S20" s="20">
        <f t="shared" si="5"/>
        <v>60.651999999999994</v>
      </c>
      <c r="T20" s="21"/>
      <c r="U20" s="22"/>
    </row>
    <row r="21" spans="1:21" ht="15" x14ac:dyDescent="0.25">
      <c r="A21" s="1">
        <v>18</v>
      </c>
      <c r="B21" s="3" t="s">
        <v>10</v>
      </c>
      <c r="C21" s="4">
        <v>230521</v>
      </c>
      <c r="D21" s="15" t="s">
        <v>27</v>
      </c>
      <c r="E21" s="15" t="s">
        <v>119</v>
      </c>
      <c r="F21" s="6">
        <v>9.9700000000000006</v>
      </c>
      <c r="G21" s="4">
        <v>2</v>
      </c>
      <c r="H21" s="4">
        <v>1</v>
      </c>
      <c r="I21" s="4">
        <f t="shared" si="6"/>
        <v>10.97</v>
      </c>
      <c r="J21" s="16">
        <f t="shared" si="1"/>
        <v>2.1940000000000004</v>
      </c>
      <c r="K21" s="17">
        <v>81.95</v>
      </c>
      <c r="L21" s="23">
        <f t="shared" si="2"/>
        <v>57.364999999999995</v>
      </c>
      <c r="M21" s="4"/>
      <c r="N21" s="4"/>
      <c r="O21" s="4">
        <v>5</v>
      </c>
      <c r="P21" s="4"/>
      <c r="Q21" s="24">
        <f t="shared" ref="Q21:Q35" si="7">M21+N21+O21+P21</f>
        <v>5</v>
      </c>
      <c r="R21" s="4">
        <f t="shared" si="4"/>
        <v>0.5</v>
      </c>
      <c r="S21" s="20">
        <f t="shared" si="5"/>
        <v>60.058999999999997</v>
      </c>
      <c r="T21" s="21"/>
      <c r="U21" s="22"/>
    </row>
    <row r="22" spans="1:21" ht="15" x14ac:dyDescent="0.25">
      <c r="A22" s="1">
        <v>19</v>
      </c>
      <c r="B22" s="3" t="s">
        <v>10</v>
      </c>
      <c r="C22" s="4">
        <v>230521</v>
      </c>
      <c r="D22" s="25" t="s">
        <v>96</v>
      </c>
      <c r="E22" s="15">
        <v>20230806233</v>
      </c>
      <c r="F22" s="6">
        <v>2.62</v>
      </c>
      <c r="G22" s="4">
        <v>6</v>
      </c>
      <c r="H22" s="4"/>
      <c r="I22" s="4">
        <f t="shared" si="6"/>
        <v>8.620000000000001</v>
      </c>
      <c r="J22" s="16">
        <f t="shared" si="1"/>
        <v>1.7240000000000002</v>
      </c>
      <c r="K22" s="17">
        <v>80.900000000000006</v>
      </c>
      <c r="L22" s="23">
        <f t="shared" si="2"/>
        <v>56.63</v>
      </c>
      <c r="M22" s="4">
        <v>10</v>
      </c>
      <c r="N22" s="4"/>
      <c r="O22" s="4">
        <v>6</v>
      </c>
      <c r="P22" s="4"/>
      <c r="Q22" s="24">
        <f t="shared" si="7"/>
        <v>16</v>
      </c>
      <c r="R22" s="4">
        <f t="shared" si="4"/>
        <v>1.6</v>
      </c>
      <c r="S22" s="20">
        <f t="shared" si="5"/>
        <v>59.954000000000001</v>
      </c>
      <c r="T22" s="21"/>
      <c r="U22" s="22"/>
    </row>
    <row r="23" spans="1:21" ht="15" x14ac:dyDescent="0.25">
      <c r="A23" s="1">
        <v>20</v>
      </c>
      <c r="B23" s="3" t="s">
        <v>10</v>
      </c>
      <c r="C23" s="4">
        <v>230521</v>
      </c>
      <c r="D23" s="15" t="s">
        <v>73</v>
      </c>
      <c r="E23" s="15" t="s">
        <v>136</v>
      </c>
      <c r="F23" s="6">
        <v>16.79</v>
      </c>
      <c r="G23" s="4">
        <v>2</v>
      </c>
      <c r="H23" s="4"/>
      <c r="I23" s="4">
        <f t="shared" si="6"/>
        <v>18.79</v>
      </c>
      <c r="J23" s="16">
        <f t="shared" si="1"/>
        <v>3.758</v>
      </c>
      <c r="K23" s="17">
        <v>79.63</v>
      </c>
      <c r="L23" s="23">
        <f t="shared" si="2"/>
        <v>55.740999999999993</v>
      </c>
      <c r="M23" s="4"/>
      <c r="N23" s="4"/>
      <c r="O23" s="4"/>
      <c r="P23" s="4"/>
      <c r="Q23" s="24">
        <f t="shared" si="7"/>
        <v>0</v>
      </c>
      <c r="R23" s="4">
        <f t="shared" si="4"/>
        <v>0</v>
      </c>
      <c r="S23" s="20">
        <f t="shared" si="5"/>
        <v>59.498999999999995</v>
      </c>
      <c r="T23" s="21"/>
      <c r="U23" s="22"/>
    </row>
    <row r="24" spans="1:21" ht="15" x14ac:dyDescent="0.25">
      <c r="A24" s="1">
        <v>21</v>
      </c>
      <c r="B24" s="3" t="s">
        <v>10</v>
      </c>
      <c r="C24" s="4">
        <v>230521</v>
      </c>
      <c r="D24" s="15" t="s">
        <v>69</v>
      </c>
      <c r="E24" s="15" t="s">
        <v>135</v>
      </c>
      <c r="F24" s="6">
        <v>4.72</v>
      </c>
      <c r="G24" s="4">
        <v>11</v>
      </c>
      <c r="H24" s="4"/>
      <c r="I24" s="4">
        <f t="shared" si="6"/>
        <v>15.719999999999999</v>
      </c>
      <c r="J24" s="16">
        <f t="shared" si="1"/>
        <v>3.1440000000000001</v>
      </c>
      <c r="K24" s="17">
        <v>74.52</v>
      </c>
      <c r="L24" s="23">
        <f t="shared" si="2"/>
        <v>52.163999999999994</v>
      </c>
      <c r="M24" s="4">
        <v>12</v>
      </c>
      <c r="N24" s="4"/>
      <c r="O24" s="4">
        <v>5</v>
      </c>
      <c r="P24" s="4">
        <v>8</v>
      </c>
      <c r="Q24" s="24">
        <f t="shared" si="7"/>
        <v>25</v>
      </c>
      <c r="R24" s="4">
        <f t="shared" si="4"/>
        <v>2.5</v>
      </c>
      <c r="S24" s="20">
        <f t="shared" si="5"/>
        <v>57.807999999999993</v>
      </c>
      <c r="T24" s="21"/>
      <c r="U24" s="22"/>
    </row>
    <row r="25" spans="1:21" ht="15" x14ac:dyDescent="0.25">
      <c r="A25" s="1">
        <v>22</v>
      </c>
      <c r="B25" s="3" t="s">
        <v>10</v>
      </c>
      <c r="C25" s="4">
        <v>230521</v>
      </c>
      <c r="D25" s="15" t="s">
        <v>95</v>
      </c>
      <c r="E25" s="15" t="s">
        <v>143</v>
      </c>
      <c r="F25" s="6">
        <v>2.62</v>
      </c>
      <c r="G25" s="4">
        <v>12</v>
      </c>
      <c r="H25" s="4"/>
      <c r="I25" s="4">
        <f t="shared" si="6"/>
        <v>14.620000000000001</v>
      </c>
      <c r="J25" s="16">
        <f t="shared" si="1"/>
        <v>2.9240000000000004</v>
      </c>
      <c r="K25" s="17">
        <v>76.73</v>
      </c>
      <c r="L25" s="23">
        <f t="shared" si="2"/>
        <v>53.710999999999999</v>
      </c>
      <c r="M25" s="4"/>
      <c r="N25" s="4"/>
      <c r="O25" s="4">
        <v>5</v>
      </c>
      <c r="P25" s="4"/>
      <c r="Q25" s="24">
        <f t="shared" si="7"/>
        <v>5</v>
      </c>
      <c r="R25" s="4">
        <f t="shared" si="4"/>
        <v>0.5</v>
      </c>
      <c r="S25" s="20">
        <f t="shared" si="5"/>
        <v>57.134999999999998</v>
      </c>
      <c r="T25" s="21"/>
      <c r="U25" s="22"/>
    </row>
    <row r="26" spans="1:21" ht="15" x14ac:dyDescent="0.25">
      <c r="A26" s="1">
        <v>23</v>
      </c>
      <c r="B26" s="3" t="s">
        <v>10</v>
      </c>
      <c r="C26" s="4">
        <v>230521</v>
      </c>
      <c r="D26" s="15" t="s">
        <v>62</v>
      </c>
      <c r="E26" s="15" t="s">
        <v>130</v>
      </c>
      <c r="F26" s="6">
        <v>2.62</v>
      </c>
      <c r="G26" s="4">
        <v>2</v>
      </c>
      <c r="H26" s="4"/>
      <c r="I26" s="4">
        <f t="shared" si="6"/>
        <v>4.62</v>
      </c>
      <c r="J26" s="16">
        <f t="shared" si="1"/>
        <v>0.92400000000000004</v>
      </c>
      <c r="K26" s="17">
        <v>78.59</v>
      </c>
      <c r="L26" s="23">
        <f t="shared" si="2"/>
        <v>55.012999999999998</v>
      </c>
      <c r="M26" s="4"/>
      <c r="N26" s="4"/>
      <c r="O26" s="4">
        <v>5</v>
      </c>
      <c r="P26" s="4"/>
      <c r="Q26" s="24">
        <f t="shared" si="7"/>
        <v>5</v>
      </c>
      <c r="R26" s="4">
        <f t="shared" si="4"/>
        <v>0.5</v>
      </c>
      <c r="S26" s="20">
        <f t="shared" si="5"/>
        <v>56.436999999999998</v>
      </c>
      <c r="T26" s="21"/>
      <c r="U26" s="22"/>
    </row>
    <row r="27" spans="1:21" ht="15" x14ac:dyDescent="0.25">
      <c r="A27" s="1">
        <v>24</v>
      </c>
      <c r="B27" s="3" t="s">
        <v>10</v>
      </c>
      <c r="C27" s="4">
        <v>230521</v>
      </c>
      <c r="D27" s="15" t="s">
        <v>68</v>
      </c>
      <c r="E27" s="15" t="s">
        <v>134</v>
      </c>
      <c r="F27" s="6">
        <v>3.67</v>
      </c>
      <c r="G27" s="4">
        <v>2</v>
      </c>
      <c r="H27" s="4"/>
      <c r="I27" s="4">
        <f t="shared" si="6"/>
        <v>5.67</v>
      </c>
      <c r="J27" s="16">
        <f t="shared" si="1"/>
        <v>1.1340000000000001</v>
      </c>
      <c r="K27" s="17">
        <v>76.89</v>
      </c>
      <c r="L27" s="23">
        <f t="shared" si="2"/>
        <v>53.823</v>
      </c>
      <c r="M27" s="4"/>
      <c r="N27" s="4"/>
      <c r="O27" s="4">
        <v>5</v>
      </c>
      <c r="P27" s="4"/>
      <c r="Q27" s="24">
        <f t="shared" si="7"/>
        <v>5</v>
      </c>
      <c r="R27" s="4">
        <f t="shared" si="4"/>
        <v>0.5</v>
      </c>
      <c r="S27" s="20">
        <f t="shared" si="5"/>
        <v>55.457000000000001</v>
      </c>
      <c r="T27" s="21"/>
      <c r="U27" s="22"/>
    </row>
    <row r="28" spans="1:21" ht="15" x14ac:dyDescent="0.25">
      <c r="A28" s="1">
        <v>25</v>
      </c>
      <c r="B28" s="3" t="s">
        <v>10</v>
      </c>
      <c r="C28" s="4">
        <v>230521</v>
      </c>
      <c r="D28" s="15" t="s">
        <v>11</v>
      </c>
      <c r="E28" s="15" t="s">
        <v>113</v>
      </c>
      <c r="F28" s="6">
        <v>7.87</v>
      </c>
      <c r="G28" s="4">
        <v>4</v>
      </c>
      <c r="H28" s="4"/>
      <c r="I28" s="4">
        <f t="shared" si="6"/>
        <v>11.870000000000001</v>
      </c>
      <c r="J28" s="16">
        <f t="shared" si="1"/>
        <v>2.3740000000000001</v>
      </c>
      <c r="K28" s="17">
        <v>72.48</v>
      </c>
      <c r="L28" s="18">
        <f t="shared" si="2"/>
        <v>50.735999999999997</v>
      </c>
      <c r="M28" s="4"/>
      <c r="N28" s="4"/>
      <c r="O28" s="4">
        <v>15</v>
      </c>
      <c r="P28" s="4"/>
      <c r="Q28" s="19">
        <f t="shared" si="7"/>
        <v>15</v>
      </c>
      <c r="R28" s="4">
        <f t="shared" si="4"/>
        <v>1.5</v>
      </c>
      <c r="S28" s="20">
        <f t="shared" si="5"/>
        <v>54.61</v>
      </c>
      <c r="T28" s="21"/>
      <c r="U28" s="22"/>
    </row>
    <row r="29" spans="1:21" ht="15" x14ac:dyDescent="0.25">
      <c r="A29" s="1">
        <v>26</v>
      </c>
      <c r="B29" s="3" t="s">
        <v>10</v>
      </c>
      <c r="C29" s="4">
        <v>230521</v>
      </c>
      <c r="D29" s="15" t="s">
        <v>63</v>
      </c>
      <c r="E29" s="15" t="s">
        <v>131</v>
      </c>
      <c r="F29" s="6">
        <v>0.52</v>
      </c>
      <c r="G29" s="4">
        <v>2</v>
      </c>
      <c r="H29" s="4"/>
      <c r="I29" s="4">
        <f t="shared" si="6"/>
        <v>2.52</v>
      </c>
      <c r="J29" s="16">
        <f t="shared" si="1"/>
        <v>0.504</v>
      </c>
      <c r="K29" s="17">
        <v>75.77</v>
      </c>
      <c r="L29" s="23">
        <f t="shared" si="2"/>
        <v>53.038999999999994</v>
      </c>
      <c r="M29" s="4"/>
      <c r="N29" s="4"/>
      <c r="O29" s="4"/>
      <c r="P29" s="4"/>
      <c r="Q29" s="24">
        <f t="shared" si="7"/>
        <v>0</v>
      </c>
      <c r="R29" s="4">
        <f t="shared" si="4"/>
        <v>0</v>
      </c>
      <c r="S29" s="20">
        <f t="shared" si="5"/>
        <v>53.542999999999992</v>
      </c>
      <c r="T29" s="21"/>
      <c r="U29" s="22"/>
    </row>
    <row r="30" spans="1:21" ht="15" x14ac:dyDescent="0.25">
      <c r="A30" s="1">
        <v>27</v>
      </c>
      <c r="B30" s="3" t="s">
        <v>10</v>
      </c>
      <c r="C30" s="4">
        <v>230521</v>
      </c>
      <c r="D30" s="15" t="s">
        <v>67</v>
      </c>
      <c r="E30" s="15" t="s">
        <v>133</v>
      </c>
      <c r="F30" s="6">
        <v>3.15</v>
      </c>
      <c r="G30" s="4">
        <v>2</v>
      </c>
      <c r="H30" s="4"/>
      <c r="I30" s="4">
        <f t="shared" si="6"/>
        <v>5.15</v>
      </c>
      <c r="J30" s="16">
        <f t="shared" si="1"/>
        <v>1.03</v>
      </c>
      <c r="K30" s="17">
        <v>73.62</v>
      </c>
      <c r="L30" s="23">
        <f t="shared" si="2"/>
        <v>51.533999999999999</v>
      </c>
      <c r="M30" s="4"/>
      <c r="N30" s="4"/>
      <c r="O30" s="4"/>
      <c r="P30" s="4"/>
      <c r="Q30" s="24">
        <f t="shared" si="7"/>
        <v>0</v>
      </c>
      <c r="R30" s="4">
        <f t="shared" si="4"/>
        <v>0</v>
      </c>
      <c r="S30" s="20">
        <f t="shared" si="5"/>
        <v>52.564</v>
      </c>
      <c r="T30" s="21"/>
      <c r="U30" s="22"/>
    </row>
    <row r="31" spans="1:21" ht="15" x14ac:dyDescent="0.25">
      <c r="A31" s="1">
        <v>28</v>
      </c>
      <c r="B31" s="3" t="s">
        <v>10</v>
      </c>
      <c r="C31" s="4">
        <v>230521</v>
      </c>
      <c r="D31" s="15" t="s">
        <v>25</v>
      </c>
      <c r="E31" s="15" t="s">
        <v>118</v>
      </c>
      <c r="F31" s="6">
        <v>9.44</v>
      </c>
      <c r="G31" s="4">
        <v>2</v>
      </c>
      <c r="H31" s="4"/>
      <c r="I31" s="4">
        <f t="shared" si="6"/>
        <v>11.44</v>
      </c>
      <c r="J31" s="16">
        <f t="shared" si="1"/>
        <v>2.2879999999999998</v>
      </c>
      <c r="K31" s="17">
        <v>69.239999999999995</v>
      </c>
      <c r="L31" s="23">
        <f t="shared" si="2"/>
        <v>48.467999999999996</v>
      </c>
      <c r="M31" s="4"/>
      <c r="N31" s="4"/>
      <c r="O31" s="4">
        <v>5</v>
      </c>
      <c r="P31" s="4"/>
      <c r="Q31" s="24">
        <f t="shared" si="7"/>
        <v>5</v>
      </c>
      <c r="R31" s="4">
        <f t="shared" si="4"/>
        <v>0.5</v>
      </c>
      <c r="S31" s="20">
        <f t="shared" si="5"/>
        <v>51.255999999999993</v>
      </c>
      <c r="T31" s="21"/>
      <c r="U31" s="22"/>
    </row>
    <row r="32" spans="1:21" ht="15" x14ac:dyDescent="0.25">
      <c r="A32" s="1">
        <v>29</v>
      </c>
      <c r="B32" s="3" t="s">
        <v>10</v>
      </c>
      <c r="C32" s="4">
        <v>230521</v>
      </c>
      <c r="D32" s="15" t="s">
        <v>34</v>
      </c>
      <c r="E32" s="15" t="s">
        <v>121</v>
      </c>
      <c r="F32" s="6">
        <v>7.35</v>
      </c>
      <c r="G32" s="4">
        <v>2</v>
      </c>
      <c r="H32" s="4">
        <v>3</v>
      </c>
      <c r="I32" s="4">
        <f t="shared" si="6"/>
        <v>6.35</v>
      </c>
      <c r="J32" s="16">
        <f t="shared" si="1"/>
        <v>1.27</v>
      </c>
      <c r="K32" s="17">
        <v>70.709999999999994</v>
      </c>
      <c r="L32" s="23">
        <f t="shared" si="2"/>
        <v>49.496999999999993</v>
      </c>
      <c r="M32" s="4"/>
      <c r="N32" s="4"/>
      <c r="O32" s="4"/>
      <c r="P32" s="4"/>
      <c r="Q32" s="24">
        <f t="shared" si="7"/>
        <v>0</v>
      </c>
      <c r="R32" s="4">
        <f t="shared" si="4"/>
        <v>0</v>
      </c>
      <c r="S32" s="20">
        <f t="shared" si="5"/>
        <v>50.766999999999996</v>
      </c>
      <c r="T32" s="21"/>
      <c r="U32" s="22"/>
    </row>
    <row r="33" spans="1:21" ht="15" x14ac:dyDescent="0.25">
      <c r="A33" s="1">
        <v>30</v>
      </c>
      <c r="B33" s="3" t="s">
        <v>10</v>
      </c>
      <c r="C33" s="4">
        <v>230521</v>
      </c>
      <c r="D33" s="15" t="s">
        <v>74</v>
      </c>
      <c r="E33" s="15" t="s">
        <v>137</v>
      </c>
      <c r="F33" s="6">
        <v>2.62</v>
      </c>
      <c r="G33" s="4">
        <v>2</v>
      </c>
      <c r="H33" s="4">
        <v>1</v>
      </c>
      <c r="I33" s="4">
        <f t="shared" si="6"/>
        <v>3.62</v>
      </c>
      <c r="J33" s="16">
        <f t="shared" si="1"/>
        <v>0.72400000000000009</v>
      </c>
      <c r="K33" s="17">
        <v>70.84</v>
      </c>
      <c r="L33" s="23">
        <f t="shared" si="2"/>
        <v>49.588000000000001</v>
      </c>
      <c r="M33" s="4"/>
      <c r="N33" s="4"/>
      <c r="O33" s="4"/>
      <c r="P33" s="4"/>
      <c r="Q33" s="24">
        <f t="shared" si="7"/>
        <v>0</v>
      </c>
      <c r="R33" s="4">
        <f t="shared" si="4"/>
        <v>0</v>
      </c>
      <c r="S33" s="20">
        <f t="shared" si="5"/>
        <v>50.311999999999998</v>
      </c>
      <c r="T33" s="21"/>
      <c r="U33" s="22"/>
    </row>
    <row r="34" spans="1:21" ht="15" x14ac:dyDescent="0.25">
      <c r="A34" s="1">
        <v>31</v>
      </c>
      <c r="B34" s="3" t="s">
        <v>10</v>
      </c>
      <c r="C34" s="4">
        <v>230521</v>
      </c>
      <c r="D34" s="15" t="s">
        <v>20</v>
      </c>
      <c r="E34" s="15" t="s">
        <v>116</v>
      </c>
      <c r="F34" s="6">
        <v>2.1</v>
      </c>
      <c r="G34" s="4">
        <v>2</v>
      </c>
      <c r="H34" s="4"/>
      <c r="I34" s="4">
        <f t="shared" si="6"/>
        <v>4.0999999999999996</v>
      </c>
      <c r="J34" s="16">
        <f t="shared" si="1"/>
        <v>0.82</v>
      </c>
      <c r="K34" s="17">
        <v>67.56</v>
      </c>
      <c r="L34" s="23">
        <f t="shared" si="2"/>
        <v>47.292000000000002</v>
      </c>
      <c r="M34" s="4"/>
      <c r="N34" s="4"/>
      <c r="O34" s="4">
        <v>10</v>
      </c>
      <c r="P34" s="4"/>
      <c r="Q34" s="24">
        <f t="shared" si="7"/>
        <v>10</v>
      </c>
      <c r="R34" s="4">
        <f t="shared" si="4"/>
        <v>1</v>
      </c>
      <c r="S34" s="20">
        <f t="shared" si="5"/>
        <v>49.112000000000002</v>
      </c>
      <c r="T34" s="21"/>
      <c r="U34" s="22"/>
    </row>
    <row r="35" spans="1:21" ht="15" x14ac:dyDescent="0.25">
      <c r="A35" s="1">
        <v>32</v>
      </c>
      <c r="B35" s="3" t="s">
        <v>10</v>
      </c>
      <c r="C35" s="4">
        <v>230521</v>
      </c>
      <c r="D35" s="15" t="s">
        <v>59</v>
      </c>
      <c r="E35" s="15" t="s">
        <v>129</v>
      </c>
      <c r="F35" s="6">
        <v>17.309999999999999</v>
      </c>
      <c r="G35" s="4">
        <v>6</v>
      </c>
      <c r="H35" s="4">
        <v>38</v>
      </c>
      <c r="I35" s="4">
        <f t="shared" si="6"/>
        <v>-14.690000000000001</v>
      </c>
      <c r="J35" s="16">
        <f t="shared" si="1"/>
        <v>-2.9380000000000006</v>
      </c>
      <c r="K35" s="17">
        <v>70.430000000000007</v>
      </c>
      <c r="L35" s="23">
        <f t="shared" si="2"/>
        <v>49.301000000000002</v>
      </c>
      <c r="M35" s="4"/>
      <c r="N35" s="4"/>
      <c r="O35" s="4">
        <v>5</v>
      </c>
      <c r="P35" s="4"/>
      <c r="Q35" s="24">
        <f t="shared" si="7"/>
        <v>5</v>
      </c>
      <c r="R35" s="4">
        <f t="shared" si="4"/>
        <v>0.5</v>
      </c>
      <c r="S35" s="20">
        <f t="shared" si="5"/>
        <v>46.863</v>
      </c>
      <c r="T35" s="21"/>
    </row>
    <row r="36" spans="1:21" ht="15" x14ac:dyDescent="0.25">
      <c r="A36" s="1">
        <v>33</v>
      </c>
      <c r="B36" s="4"/>
      <c r="C36" s="4"/>
      <c r="D36" s="4"/>
      <c r="E36" s="4"/>
      <c r="F36" s="4"/>
      <c r="G36" s="4"/>
      <c r="H36" s="4"/>
      <c r="I36" s="4"/>
      <c r="J36" s="4"/>
      <c r="K36" s="11"/>
      <c r="L36" s="26"/>
      <c r="M36" s="4"/>
      <c r="N36" s="4"/>
      <c r="O36" s="4"/>
      <c r="P36" s="4"/>
      <c r="Q36" s="4"/>
      <c r="R36" s="4"/>
      <c r="S36" s="4"/>
      <c r="T36" s="27"/>
    </row>
    <row r="37" spans="1:21" ht="15" x14ac:dyDescent="0.25">
      <c r="A37" s="1">
        <v>34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26"/>
      <c r="M37" s="4"/>
      <c r="N37" s="4"/>
      <c r="O37" s="4"/>
      <c r="P37" s="4"/>
      <c r="Q37" s="4"/>
      <c r="R37" s="4"/>
      <c r="S37" s="4"/>
      <c r="T37" s="12"/>
    </row>
    <row r="38" spans="1:21" ht="15" x14ac:dyDescent="0.25">
      <c r="A38" s="1">
        <v>35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12"/>
    </row>
    <row r="39" spans="1:21" s="29" customFormat="1" ht="15" x14ac:dyDescent="0.25">
      <c r="A39" s="1">
        <v>36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28"/>
    </row>
    <row r="40" spans="1:21" s="29" customFormat="1" ht="15" x14ac:dyDescent="0.25">
      <c r="A40" s="1">
        <v>37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28"/>
    </row>
    <row r="41" spans="1:21" s="29" customFormat="1" ht="15" x14ac:dyDescent="0.25">
      <c r="A41" s="1">
        <v>38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28"/>
    </row>
    <row r="42" spans="1:21" s="29" customFormat="1" ht="15" x14ac:dyDescent="0.25">
      <c r="A42" s="1">
        <v>39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28"/>
    </row>
    <row r="43" spans="1:21" ht="15" x14ac:dyDescent="0.25">
      <c r="A43" s="1">
        <v>40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2"/>
    </row>
    <row r="44" spans="1:21" ht="15" x14ac:dyDescent="0.25">
      <c r="A44" s="1">
        <v>41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12"/>
    </row>
    <row r="45" spans="1:21" ht="15" x14ac:dyDescent="0.25">
      <c r="A45" s="1">
        <v>42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12"/>
    </row>
    <row r="46" spans="1:21" ht="15" x14ac:dyDescent="0.25">
      <c r="A46" s="1">
        <v>43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12"/>
    </row>
    <row r="47" spans="1:21" ht="15" x14ac:dyDescent="0.25">
      <c r="A47" s="1">
        <v>44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12"/>
    </row>
    <row r="48" spans="1:21" ht="15" x14ac:dyDescent="0.25">
      <c r="A48" s="1">
        <v>45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12"/>
    </row>
    <row r="49" spans="1:20" ht="15" x14ac:dyDescent="0.25">
      <c r="A49" s="1">
        <v>46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12"/>
    </row>
    <row r="50" spans="1:20" ht="15" x14ac:dyDescent="0.25">
      <c r="A50" s="1">
        <v>47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12"/>
    </row>
    <row r="51" spans="1:20" ht="15" x14ac:dyDescent="0.25">
      <c r="A51" s="1">
        <v>48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2"/>
    </row>
    <row r="52" spans="1:20" ht="15" x14ac:dyDescent="0.25">
      <c r="A52" s="1">
        <v>49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12"/>
    </row>
    <row r="53" spans="1:20" ht="15" x14ac:dyDescent="0.25">
      <c r="A53" s="1">
        <v>50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12"/>
    </row>
    <row r="54" spans="1:20" ht="15" x14ac:dyDescent="0.25">
      <c r="A54" s="1">
        <v>51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12"/>
    </row>
    <row r="55" spans="1:20" ht="15" x14ac:dyDescent="0.25">
      <c r="A55" s="1">
        <v>52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12"/>
    </row>
    <row r="56" spans="1:20" ht="15" x14ac:dyDescent="0.25">
      <c r="A56" s="1">
        <v>53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12"/>
    </row>
    <row r="57" spans="1:20" ht="15" x14ac:dyDescent="0.25">
      <c r="A57" s="1">
        <v>54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12"/>
    </row>
    <row r="58" spans="1:20" ht="15" x14ac:dyDescent="0.25">
      <c r="A58" s="1">
        <v>55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12"/>
    </row>
    <row r="59" spans="1:20" ht="15" x14ac:dyDescent="0.25">
      <c r="A59" s="1">
        <v>56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12"/>
    </row>
    <row r="60" spans="1:20" ht="15" x14ac:dyDescent="0.25">
      <c r="A60" s="1">
        <v>57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12"/>
    </row>
    <row r="61" spans="1:20" ht="15" x14ac:dyDescent="0.25">
      <c r="A61" s="1">
        <v>58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12"/>
    </row>
    <row r="62" spans="1:20" ht="15" x14ac:dyDescent="0.25">
      <c r="A62" s="1">
        <v>59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12"/>
    </row>
    <row r="63" spans="1:20" ht="15" x14ac:dyDescent="0.25">
      <c r="A63" s="1">
        <v>60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12"/>
    </row>
    <row r="64" spans="1:20" ht="15" x14ac:dyDescent="0.25">
      <c r="A64" s="1">
        <v>61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12"/>
    </row>
    <row r="65" spans="1:20" ht="15" x14ac:dyDescent="0.25">
      <c r="A65" s="1">
        <v>62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12"/>
    </row>
    <row r="66" spans="1:20" ht="15" x14ac:dyDescent="0.25">
      <c r="A66" s="1">
        <v>63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12"/>
    </row>
    <row r="67" spans="1:20" ht="15" x14ac:dyDescent="0.25">
      <c r="A67" s="1">
        <v>64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12"/>
    </row>
    <row r="68" spans="1:20" ht="15" x14ac:dyDescent="0.25">
      <c r="A68" s="1">
        <v>65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12"/>
    </row>
    <row r="69" spans="1:20" ht="15" x14ac:dyDescent="0.25">
      <c r="A69" s="1">
        <v>66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12"/>
    </row>
    <row r="70" spans="1:20" ht="15" x14ac:dyDescent="0.25">
      <c r="A70" s="1">
        <v>67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12"/>
    </row>
    <row r="71" spans="1:20" ht="15" x14ac:dyDescent="0.25">
      <c r="A71" s="1">
        <v>68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12"/>
    </row>
    <row r="72" spans="1:20" ht="15" x14ac:dyDescent="0.25">
      <c r="A72" s="1">
        <v>69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12"/>
    </row>
    <row r="73" spans="1:20" ht="15" x14ac:dyDescent="0.25">
      <c r="A73" s="1">
        <v>70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12"/>
    </row>
    <row r="74" spans="1:20" ht="15" x14ac:dyDescent="0.25">
      <c r="A74" s="1">
        <v>71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12"/>
    </row>
    <row r="75" spans="1:20" ht="15" x14ac:dyDescent="0.25">
      <c r="A75" s="1">
        <v>72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12"/>
    </row>
    <row r="76" spans="1:20" ht="15" x14ac:dyDescent="0.25">
      <c r="A76" s="1">
        <v>73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12"/>
    </row>
    <row r="77" spans="1:20" ht="15" x14ac:dyDescent="0.25">
      <c r="A77" s="1">
        <v>74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12"/>
    </row>
    <row r="78" spans="1:20" ht="15" x14ac:dyDescent="0.25">
      <c r="A78" s="1">
        <v>75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12"/>
    </row>
    <row r="79" spans="1:20" ht="15" x14ac:dyDescent="0.25">
      <c r="A79" s="1">
        <v>76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12"/>
    </row>
    <row r="80" spans="1:20" ht="15" x14ac:dyDescent="0.25">
      <c r="A80" s="1">
        <v>77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12"/>
    </row>
    <row r="81" spans="1:20" ht="15" x14ac:dyDescent="0.25">
      <c r="A81" s="1">
        <v>78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12"/>
    </row>
    <row r="82" spans="1:20" ht="15" x14ac:dyDescent="0.25">
      <c r="A82" s="1">
        <v>79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12"/>
    </row>
    <row r="83" spans="1:20" ht="15" x14ac:dyDescent="0.25">
      <c r="A83" s="1">
        <v>80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12"/>
    </row>
    <row r="84" spans="1:20" ht="15" x14ac:dyDescent="0.25">
      <c r="A84" s="1">
        <v>81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12"/>
    </row>
    <row r="85" spans="1:20" ht="15" x14ac:dyDescent="0.25">
      <c r="A85" s="1">
        <v>82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12"/>
    </row>
    <row r="86" spans="1:20" x14ac:dyDescent="0.25">
      <c r="A86" s="34" t="s">
        <v>144</v>
      </c>
      <c r="B86" s="34"/>
      <c r="C86" s="34"/>
      <c r="D86" s="34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</row>
    <row r="87" spans="1:20" x14ac:dyDescent="0.25">
      <c r="A87" s="35"/>
      <c r="B87" s="35"/>
      <c r="C87" s="35"/>
      <c r="D87" s="35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</row>
    <row r="88" spans="1:20" x14ac:dyDescent="0.25">
      <c r="A88" s="35"/>
      <c r="B88" s="35"/>
      <c r="C88" s="35"/>
      <c r="D88" s="35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</row>
    <row r="89" spans="1:20" x14ac:dyDescent="0.25">
      <c r="A89" s="35"/>
      <c r="B89" s="35"/>
      <c r="C89" s="35"/>
      <c r="D89" s="35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</row>
    <row r="90" spans="1:20" x14ac:dyDescent="0.25">
      <c r="A90" s="35"/>
      <c r="B90" s="35"/>
      <c r="C90" s="35"/>
      <c r="D90" s="35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</row>
    <row r="91" spans="1:20" x14ac:dyDescent="0.25">
      <c r="A91" s="34" t="s">
        <v>145</v>
      </c>
      <c r="B91" s="34"/>
      <c r="C91" s="34"/>
      <c r="D91" s="34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</row>
    <row r="92" spans="1:20" x14ac:dyDescent="0.25">
      <c r="A92" s="35"/>
      <c r="B92" s="35"/>
      <c r="C92" s="35"/>
      <c r="D92" s="35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</row>
    <row r="93" spans="1:20" x14ac:dyDescent="0.25">
      <c r="A93" s="35"/>
      <c r="B93" s="35"/>
      <c r="C93" s="35"/>
      <c r="D93" s="35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</row>
    <row r="94" spans="1:20" x14ac:dyDescent="0.25">
      <c r="A94" s="35"/>
      <c r="B94" s="35"/>
      <c r="C94" s="35"/>
      <c r="D94" s="35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</row>
    <row r="95" spans="1:20" x14ac:dyDescent="0.25">
      <c r="A95" s="35"/>
      <c r="B95" s="35"/>
      <c r="C95" s="35"/>
      <c r="D95" s="35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</row>
  </sheetData>
  <autoFilter ref="A3:S95" xr:uid="{00000000-0001-0000-0000-000000000000}"/>
  <sortState xmlns:xlrd2="http://schemas.microsoft.com/office/spreadsheetml/2017/richdata2" ref="D4:S35">
    <sortCondition descending="1" ref="S4:S35"/>
  </sortState>
  <mergeCells count="8">
    <mergeCell ref="A91:D95"/>
    <mergeCell ref="E86:T90"/>
    <mergeCell ref="E91:T95"/>
    <mergeCell ref="A1:T1"/>
    <mergeCell ref="F2:J2"/>
    <mergeCell ref="K2:L2"/>
    <mergeCell ref="M2:R2"/>
    <mergeCell ref="A86:D90"/>
  </mergeCells>
  <phoneticPr fontId="13" type="noConversion"/>
  <pageMargins left="0.70069400000000004" right="0.70069400000000004" top="0.75138899999999997" bottom="0.75138899999999997" header="0.29861100000000002" footer="0.29861100000000002"/>
  <pageSetup paperSize="9" scale="73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3"/>
  <sheetViews>
    <sheetView topLeftCell="A5" workbookViewId="0">
      <selection activeCell="E3" sqref="E3"/>
    </sheetView>
  </sheetViews>
  <sheetFormatPr defaultColWidth="9" defaultRowHeight="14" x14ac:dyDescent="0.25"/>
  <cols>
    <col min="1" max="1" width="7.7265625" customWidth="1"/>
    <col min="2" max="2" width="16.26953125" customWidth="1"/>
    <col min="3" max="3" width="16.453125" customWidth="1"/>
    <col min="4" max="6" width="15.7265625" customWidth="1"/>
    <col min="7" max="9" width="20.7265625" customWidth="1"/>
    <col min="10" max="10" width="25.7265625" customWidth="1"/>
  </cols>
  <sheetData>
    <row r="1" spans="1:10" ht="2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7.25" customHeight="1" x14ac:dyDescent="0.25">
      <c r="A2" s="3" t="s">
        <v>10</v>
      </c>
      <c r="B2" s="4">
        <v>230521</v>
      </c>
      <c r="C2" s="5" t="s">
        <v>11</v>
      </c>
      <c r="D2" s="6">
        <v>7.87</v>
      </c>
      <c r="E2" s="7" t="s">
        <v>12</v>
      </c>
      <c r="F2" s="8"/>
      <c r="G2" s="8"/>
      <c r="H2" s="8"/>
      <c r="I2" s="9" t="s">
        <v>13</v>
      </c>
      <c r="J2" s="8"/>
    </row>
    <row r="3" spans="1:10" ht="74.25" customHeight="1" x14ac:dyDescent="0.25">
      <c r="A3" s="3" t="s">
        <v>10</v>
      </c>
      <c r="B3" s="4">
        <v>230521</v>
      </c>
      <c r="C3" s="5" t="s">
        <v>14</v>
      </c>
      <c r="D3" s="6">
        <v>20</v>
      </c>
      <c r="E3" s="7" t="s">
        <v>15</v>
      </c>
      <c r="F3" s="8"/>
      <c r="G3" s="9" t="s">
        <v>16</v>
      </c>
      <c r="H3" s="8"/>
      <c r="I3" s="9" t="s">
        <v>13</v>
      </c>
      <c r="J3" s="8"/>
    </row>
    <row r="4" spans="1:10" ht="75.75" customHeight="1" x14ac:dyDescent="0.25">
      <c r="A4" s="3" t="s">
        <v>10</v>
      </c>
      <c r="B4" s="4">
        <v>230521</v>
      </c>
      <c r="C4" s="5" t="s">
        <v>17</v>
      </c>
      <c r="D4" s="6">
        <v>20</v>
      </c>
      <c r="E4" s="7" t="s">
        <v>18</v>
      </c>
      <c r="F4" s="8"/>
      <c r="G4" s="8"/>
      <c r="H4" s="9" t="s">
        <v>19</v>
      </c>
      <c r="I4" s="9" t="s">
        <v>13</v>
      </c>
      <c r="J4" s="8"/>
    </row>
    <row r="5" spans="1:10" ht="28" x14ac:dyDescent="0.25">
      <c r="A5" s="3" t="s">
        <v>10</v>
      </c>
      <c r="B5" s="4">
        <v>230521</v>
      </c>
      <c r="C5" s="5" t="s">
        <v>20</v>
      </c>
      <c r="D5" s="6">
        <v>2.1</v>
      </c>
      <c r="E5" s="7" t="s">
        <v>21</v>
      </c>
      <c r="F5" s="8"/>
      <c r="G5" s="8"/>
      <c r="H5" s="8"/>
      <c r="I5" s="9" t="s">
        <v>22</v>
      </c>
      <c r="J5" s="8"/>
    </row>
    <row r="6" spans="1:10" ht="45" customHeight="1" x14ac:dyDescent="0.25">
      <c r="A6" s="3" t="s">
        <v>10</v>
      </c>
      <c r="B6" s="4">
        <v>230521</v>
      </c>
      <c r="C6" s="5" t="s">
        <v>23</v>
      </c>
      <c r="D6" s="6">
        <v>6.3</v>
      </c>
      <c r="E6" s="7" t="s">
        <v>21</v>
      </c>
      <c r="F6" s="8"/>
      <c r="G6" s="8"/>
      <c r="H6" s="8"/>
      <c r="I6" s="9" t="s">
        <v>24</v>
      </c>
      <c r="J6" s="8"/>
    </row>
    <row r="7" spans="1:10" ht="28" x14ac:dyDescent="0.25">
      <c r="A7" s="3" t="s">
        <v>10</v>
      </c>
      <c r="B7" s="4">
        <v>230521</v>
      </c>
      <c r="C7" s="5" t="s">
        <v>25</v>
      </c>
      <c r="D7" s="6">
        <v>9.44</v>
      </c>
      <c r="E7" s="7" t="s">
        <v>21</v>
      </c>
      <c r="F7" s="8"/>
      <c r="G7" s="8"/>
      <c r="H7" s="8"/>
      <c r="I7" s="9" t="s">
        <v>26</v>
      </c>
      <c r="J7" s="8"/>
    </row>
    <row r="8" spans="1:10" ht="28" x14ac:dyDescent="0.25">
      <c r="A8" s="3" t="s">
        <v>10</v>
      </c>
      <c r="B8" s="4">
        <v>230521</v>
      </c>
      <c r="C8" s="5" t="s">
        <v>27</v>
      </c>
      <c r="D8" s="6">
        <v>9.9700000000000006</v>
      </c>
      <c r="E8" s="7" t="s">
        <v>21</v>
      </c>
      <c r="F8" s="9" t="s">
        <v>28</v>
      </c>
      <c r="G8" s="8"/>
      <c r="H8" s="8"/>
      <c r="I8" s="9" t="s">
        <v>26</v>
      </c>
      <c r="J8" s="8"/>
    </row>
    <row r="9" spans="1:10" ht="70" x14ac:dyDescent="0.25">
      <c r="A9" s="3" t="s">
        <v>10</v>
      </c>
      <c r="B9" s="4">
        <v>230521</v>
      </c>
      <c r="C9" s="5" t="s">
        <v>29</v>
      </c>
      <c r="D9" s="6">
        <v>20</v>
      </c>
      <c r="E9" s="7" t="s">
        <v>30</v>
      </c>
      <c r="F9" s="8"/>
      <c r="G9" s="9" t="s">
        <v>31</v>
      </c>
      <c r="H9" s="9" t="s">
        <v>32</v>
      </c>
      <c r="I9" s="9" t="s">
        <v>33</v>
      </c>
      <c r="J9" s="8"/>
    </row>
    <row r="10" spans="1:10" ht="28" x14ac:dyDescent="0.25">
      <c r="A10" s="3" t="s">
        <v>10</v>
      </c>
      <c r="B10" s="4">
        <v>230521</v>
      </c>
      <c r="C10" s="5" t="s">
        <v>34</v>
      </c>
      <c r="D10" s="6">
        <v>7.35</v>
      </c>
      <c r="E10" s="7" t="s">
        <v>21</v>
      </c>
      <c r="F10" s="9" t="s">
        <v>35</v>
      </c>
      <c r="G10" s="8"/>
      <c r="H10" s="8"/>
      <c r="I10" s="8"/>
      <c r="J10" s="8"/>
    </row>
    <row r="11" spans="1:10" ht="98" x14ac:dyDescent="0.25">
      <c r="A11" s="3" t="s">
        <v>10</v>
      </c>
      <c r="B11" s="4">
        <v>230521</v>
      </c>
      <c r="C11" s="5" t="s">
        <v>36</v>
      </c>
      <c r="D11" s="6">
        <v>8.39</v>
      </c>
      <c r="E11" s="7" t="s">
        <v>21</v>
      </c>
      <c r="F11" s="9" t="s">
        <v>28</v>
      </c>
      <c r="G11" s="9" t="s">
        <v>37</v>
      </c>
      <c r="H11" s="8"/>
      <c r="I11" s="9" t="s">
        <v>38</v>
      </c>
      <c r="J11" s="9" t="s">
        <v>39</v>
      </c>
    </row>
    <row r="12" spans="1:10" ht="42" x14ac:dyDescent="0.25">
      <c r="A12" s="3" t="s">
        <v>10</v>
      </c>
      <c r="B12" s="4">
        <v>230521</v>
      </c>
      <c r="C12" s="5" t="s">
        <v>40</v>
      </c>
      <c r="D12" s="6">
        <v>12.07</v>
      </c>
      <c r="E12" s="7" t="s">
        <v>41</v>
      </c>
      <c r="F12" s="8"/>
      <c r="G12" s="8" t="s">
        <v>42</v>
      </c>
      <c r="H12" s="8" t="s">
        <v>19</v>
      </c>
      <c r="I12" s="9" t="s">
        <v>43</v>
      </c>
      <c r="J12" s="8"/>
    </row>
    <row r="13" spans="1:10" ht="28" x14ac:dyDescent="0.25">
      <c r="A13" s="3" t="s">
        <v>10</v>
      </c>
      <c r="B13" s="4">
        <v>230521</v>
      </c>
      <c r="C13" s="5" t="s">
        <v>44</v>
      </c>
      <c r="D13" s="6">
        <v>9.9700000000000006</v>
      </c>
      <c r="E13" s="7" t="s">
        <v>21</v>
      </c>
      <c r="F13" s="8"/>
      <c r="G13" s="8"/>
      <c r="H13" s="8"/>
      <c r="I13" s="9" t="s">
        <v>45</v>
      </c>
      <c r="J13" s="8"/>
    </row>
    <row r="14" spans="1:10" ht="42" x14ac:dyDescent="0.25">
      <c r="A14" s="3" t="s">
        <v>10</v>
      </c>
      <c r="B14" s="4">
        <v>230521</v>
      </c>
      <c r="C14" s="5" t="s">
        <v>46</v>
      </c>
      <c r="D14" s="6">
        <v>4.2</v>
      </c>
      <c r="E14" s="7" t="s">
        <v>41</v>
      </c>
      <c r="F14" s="8"/>
      <c r="G14" s="9" t="s">
        <v>47</v>
      </c>
      <c r="H14" s="8"/>
      <c r="I14" s="9" t="s">
        <v>48</v>
      </c>
      <c r="J14" s="8"/>
    </row>
    <row r="15" spans="1:10" ht="56" x14ac:dyDescent="0.25">
      <c r="A15" s="3" t="s">
        <v>10</v>
      </c>
      <c r="B15" s="4">
        <v>230521</v>
      </c>
      <c r="C15" s="5" t="s">
        <v>49</v>
      </c>
      <c r="D15" s="6">
        <v>20</v>
      </c>
      <c r="E15" s="7" t="s">
        <v>50</v>
      </c>
      <c r="F15" s="8"/>
      <c r="G15" s="8"/>
      <c r="H15" s="8"/>
      <c r="I15" s="9" t="s">
        <v>51</v>
      </c>
      <c r="J15" s="8"/>
    </row>
    <row r="16" spans="1:10" ht="42" x14ac:dyDescent="0.25">
      <c r="A16" s="3" t="s">
        <v>10</v>
      </c>
      <c r="B16" s="4">
        <v>230521</v>
      </c>
      <c r="C16" s="5" t="s">
        <v>52</v>
      </c>
      <c r="D16" s="6">
        <v>13.64</v>
      </c>
      <c r="E16" s="7" t="s">
        <v>53</v>
      </c>
      <c r="F16" s="8"/>
      <c r="G16" s="8"/>
      <c r="H16" s="8"/>
      <c r="I16" s="9" t="s">
        <v>54</v>
      </c>
      <c r="J16" s="8"/>
    </row>
    <row r="17" spans="1:10" ht="70" x14ac:dyDescent="0.25">
      <c r="A17" s="3" t="s">
        <v>10</v>
      </c>
      <c r="B17" s="4">
        <v>230521</v>
      </c>
      <c r="C17" s="5" t="s">
        <v>55</v>
      </c>
      <c r="D17" s="6">
        <v>20</v>
      </c>
      <c r="E17" s="7" t="s">
        <v>56</v>
      </c>
      <c r="F17" s="8"/>
      <c r="G17" s="9" t="s">
        <v>57</v>
      </c>
      <c r="H17" s="8"/>
      <c r="I17" s="9" t="s">
        <v>58</v>
      </c>
      <c r="J17" s="8"/>
    </row>
    <row r="18" spans="1:10" ht="42" x14ac:dyDescent="0.25">
      <c r="A18" s="3" t="s">
        <v>10</v>
      </c>
      <c r="B18" s="4">
        <v>230521</v>
      </c>
      <c r="C18" s="5" t="s">
        <v>59</v>
      </c>
      <c r="D18" s="6">
        <v>17.309999999999999</v>
      </c>
      <c r="E18" s="7" t="s">
        <v>60</v>
      </c>
      <c r="F18" s="9" t="s">
        <v>61</v>
      </c>
      <c r="G18" s="8"/>
      <c r="H18" s="8"/>
      <c r="I18" s="9" t="s">
        <v>45</v>
      </c>
      <c r="J18" s="8"/>
    </row>
    <row r="19" spans="1:10" ht="28" x14ac:dyDescent="0.25">
      <c r="A19" s="3" t="s">
        <v>10</v>
      </c>
      <c r="B19" s="4">
        <v>230521</v>
      </c>
      <c r="C19" s="5" t="s">
        <v>62</v>
      </c>
      <c r="D19" s="6">
        <v>2.62</v>
      </c>
      <c r="E19" s="7" t="s">
        <v>21</v>
      </c>
      <c r="F19" s="8"/>
      <c r="G19" s="8"/>
      <c r="H19" s="8"/>
      <c r="I19" s="9" t="s">
        <v>45</v>
      </c>
      <c r="J19" s="8"/>
    </row>
    <row r="20" spans="1:10" ht="28" x14ac:dyDescent="0.25">
      <c r="A20" s="3" t="s">
        <v>10</v>
      </c>
      <c r="B20" s="4">
        <v>230521</v>
      </c>
      <c r="C20" s="5" t="s">
        <v>63</v>
      </c>
      <c r="D20" s="6">
        <v>0.52</v>
      </c>
      <c r="E20" s="7" t="s">
        <v>21</v>
      </c>
      <c r="F20" s="8"/>
      <c r="G20" s="8"/>
      <c r="H20" s="8"/>
      <c r="I20" s="8"/>
      <c r="J20" s="8"/>
    </row>
    <row r="21" spans="1:10" ht="70" x14ac:dyDescent="0.25">
      <c r="A21" s="3" t="s">
        <v>10</v>
      </c>
      <c r="B21" s="4">
        <v>230521</v>
      </c>
      <c r="C21" s="5" t="s">
        <v>64</v>
      </c>
      <c r="D21" s="6">
        <v>20</v>
      </c>
      <c r="E21" s="7" t="s">
        <v>65</v>
      </c>
      <c r="F21" s="8"/>
      <c r="G21" s="8"/>
      <c r="H21" s="8"/>
      <c r="I21" s="9" t="s">
        <v>66</v>
      </c>
      <c r="J21" s="8"/>
    </row>
    <row r="22" spans="1:10" ht="28" x14ac:dyDescent="0.25">
      <c r="A22" s="3" t="s">
        <v>10</v>
      </c>
      <c r="B22" s="4">
        <v>230521</v>
      </c>
      <c r="C22" s="5" t="s">
        <v>67</v>
      </c>
      <c r="D22" s="6">
        <v>3.15</v>
      </c>
      <c r="E22" s="7" t="s">
        <v>21</v>
      </c>
      <c r="F22" s="8"/>
      <c r="G22" s="8"/>
      <c r="H22" s="8"/>
      <c r="I22" s="8"/>
      <c r="J22" s="8"/>
    </row>
    <row r="23" spans="1:10" ht="28" x14ac:dyDescent="0.25">
      <c r="A23" s="3" t="s">
        <v>10</v>
      </c>
      <c r="B23" s="4">
        <v>230521</v>
      </c>
      <c r="C23" s="5" t="s">
        <v>68</v>
      </c>
      <c r="D23" s="6">
        <v>3.67</v>
      </c>
      <c r="E23" s="7" t="s">
        <v>21</v>
      </c>
      <c r="F23" s="8"/>
      <c r="G23" s="8"/>
      <c r="H23" s="8"/>
      <c r="I23" s="9" t="s">
        <v>45</v>
      </c>
      <c r="J23" s="8"/>
    </row>
    <row r="24" spans="1:10" ht="56" x14ac:dyDescent="0.25">
      <c r="A24" s="3" t="s">
        <v>10</v>
      </c>
      <c r="B24" s="4">
        <v>230521</v>
      </c>
      <c r="C24" s="5" t="s">
        <v>69</v>
      </c>
      <c r="D24" s="6">
        <v>4.72</v>
      </c>
      <c r="E24" s="7" t="s">
        <v>70</v>
      </c>
      <c r="F24" s="8"/>
      <c r="G24" s="9" t="s">
        <v>71</v>
      </c>
      <c r="H24" s="8"/>
      <c r="I24" s="9" t="s">
        <v>45</v>
      </c>
      <c r="J24" s="9" t="s">
        <v>72</v>
      </c>
    </row>
    <row r="25" spans="1:10" ht="28" x14ac:dyDescent="0.25">
      <c r="A25" s="3" t="s">
        <v>10</v>
      </c>
      <c r="B25" s="4">
        <v>230521</v>
      </c>
      <c r="C25" s="5" t="s">
        <v>73</v>
      </c>
      <c r="D25" s="6">
        <v>16.79</v>
      </c>
      <c r="E25" s="7" t="s">
        <v>21</v>
      </c>
      <c r="F25" s="8"/>
      <c r="G25" s="8"/>
      <c r="H25" s="8"/>
      <c r="I25" s="8"/>
      <c r="J25" s="8"/>
    </row>
    <row r="26" spans="1:10" ht="28" x14ac:dyDescent="0.25">
      <c r="A26" s="3" t="s">
        <v>10</v>
      </c>
      <c r="B26" s="4">
        <v>230521</v>
      </c>
      <c r="C26" s="5" t="s">
        <v>74</v>
      </c>
      <c r="D26" s="6">
        <v>2.62</v>
      </c>
      <c r="E26" s="7" t="s">
        <v>21</v>
      </c>
      <c r="F26" s="9" t="s">
        <v>28</v>
      </c>
      <c r="G26" s="8"/>
      <c r="H26" s="8"/>
      <c r="I26" s="9" t="s">
        <v>45</v>
      </c>
      <c r="J26" s="8"/>
    </row>
    <row r="27" spans="1:10" ht="112" x14ac:dyDescent="0.25">
      <c r="A27" s="3" t="s">
        <v>10</v>
      </c>
      <c r="B27" s="4">
        <v>230521</v>
      </c>
      <c r="C27" s="5" t="s">
        <v>75</v>
      </c>
      <c r="D27" s="6">
        <v>20</v>
      </c>
      <c r="E27" s="7" t="s">
        <v>76</v>
      </c>
      <c r="F27" s="8"/>
      <c r="G27" s="9" t="s">
        <v>77</v>
      </c>
      <c r="H27" s="9" t="s">
        <v>78</v>
      </c>
      <c r="I27" s="9" t="s">
        <v>43</v>
      </c>
      <c r="J27" s="9" t="s">
        <v>79</v>
      </c>
    </row>
    <row r="28" spans="1:10" ht="56" x14ac:dyDescent="0.25">
      <c r="A28" s="3" t="s">
        <v>10</v>
      </c>
      <c r="B28" s="4">
        <v>230521</v>
      </c>
      <c r="C28" s="5" t="s">
        <v>80</v>
      </c>
      <c r="D28" s="6">
        <v>3.67</v>
      </c>
      <c r="E28" s="7" t="s">
        <v>81</v>
      </c>
      <c r="F28" s="8"/>
      <c r="G28" s="9" t="s">
        <v>82</v>
      </c>
      <c r="H28" s="8"/>
      <c r="I28" s="9" t="s">
        <v>83</v>
      </c>
      <c r="J28" s="8"/>
    </row>
    <row r="29" spans="1:10" ht="168" x14ac:dyDescent="0.25">
      <c r="A29" s="3" t="s">
        <v>10</v>
      </c>
      <c r="B29" s="4">
        <v>230521</v>
      </c>
      <c r="C29" s="5" t="s">
        <v>84</v>
      </c>
      <c r="D29" s="6">
        <v>20</v>
      </c>
      <c r="E29" s="7" t="s">
        <v>85</v>
      </c>
      <c r="F29" s="8"/>
      <c r="G29" s="8" t="s">
        <v>86</v>
      </c>
      <c r="H29" s="9" t="s">
        <v>87</v>
      </c>
      <c r="I29" s="9" t="s">
        <v>88</v>
      </c>
      <c r="J29" s="9" t="s">
        <v>79</v>
      </c>
    </row>
    <row r="30" spans="1:10" ht="84" x14ac:dyDescent="0.25">
      <c r="A30" s="3" t="s">
        <v>10</v>
      </c>
      <c r="B30" s="4">
        <v>230521</v>
      </c>
      <c r="C30" s="5" t="s">
        <v>89</v>
      </c>
      <c r="D30" s="6">
        <v>20</v>
      </c>
      <c r="E30" s="7" t="s">
        <v>90</v>
      </c>
      <c r="F30" s="8"/>
      <c r="G30" s="9" t="s">
        <v>91</v>
      </c>
      <c r="H30" s="8"/>
      <c r="I30" s="9" t="s">
        <v>92</v>
      </c>
      <c r="J30" s="8"/>
    </row>
    <row r="31" spans="1:10" ht="42" x14ac:dyDescent="0.25">
      <c r="A31" s="3" t="s">
        <v>10</v>
      </c>
      <c r="B31" s="4">
        <v>230521</v>
      </c>
      <c r="C31" s="5" t="s">
        <v>93</v>
      </c>
      <c r="D31" s="6">
        <v>13.12</v>
      </c>
      <c r="E31" s="7" t="s">
        <v>94</v>
      </c>
      <c r="F31" s="8"/>
      <c r="G31" s="8"/>
      <c r="H31" s="8"/>
      <c r="I31" s="9" t="s">
        <v>45</v>
      </c>
      <c r="J31" s="8"/>
    </row>
    <row r="32" spans="1:10" ht="42" x14ac:dyDescent="0.25">
      <c r="A32" s="3" t="s">
        <v>10</v>
      </c>
      <c r="B32" s="4">
        <v>230521</v>
      </c>
      <c r="C32" s="5" t="s">
        <v>95</v>
      </c>
      <c r="D32" s="6">
        <v>2.62</v>
      </c>
      <c r="E32" s="7" t="s">
        <v>41</v>
      </c>
      <c r="F32" s="8"/>
      <c r="G32" s="8"/>
      <c r="H32" s="8"/>
      <c r="I32" s="9" t="s">
        <v>45</v>
      </c>
      <c r="J32" s="8"/>
    </row>
    <row r="33" spans="1:10" ht="42" x14ac:dyDescent="0.25">
      <c r="A33" s="3" t="s">
        <v>10</v>
      </c>
      <c r="B33" s="4">
        <v>230521</v>
      </c>
      <c r="C33" s="10" t="s">
        <v>96</v>
      </c>
      <c r="D33" s="6">
        <v>2.62</v>
      </c>
      <c r="E33" s="7" t="s">
        <v>81</v>
      </c>
      <c r="F33" s="8"/>
      <c r="G33" s="8" t="s">
        <v>97</v>
      </c>
      <c r="H33" s="8"/>
      <c r="I33" s="8" t="s">
        <v>98</v>
      </c>
      <c r="J33" s="8"/>
    </row>
    <row r="34" spans="1:10" x14ac:dyDescent="0.25">
      <c r="A34" s="4"/>
      <c r="B34" s="4"/>
      <c r="C34" s="4"/>
      <c r="D34" s="11"/>
      <c r="E34" s="4"/>
      <c r="F34" s="4"/>
      <c r="G34" s="4"/>
      <c r="H34" s="4"/>
      <c r="I34" s="4"/>
      <c r="J34" s="4"/>
    </row>
    <row r="35" spans="1:10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10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spans="1:10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spans="1:10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</row>
  </sheetData>
  <phoneticPr fontId="13" type="noConversion"/>
  <pageMargins left="0.69930599999999998" right="0.69930599999999998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综合测评计算表</vt:lpstr>
      <vt:lpstr>加减分说明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意彬 樊</cp:lastModifiedBy>
  <dcterms:created xsi:type="dcterms:W3CDTF">2025-09-05T13:09:53Z</dcterms:created>
  <dcterms:modified xsi:type="dcterms:W3CDTF">2025-09-05T09:37:57Z</dcterms:modified>
</cp:coreProperties>
</file>